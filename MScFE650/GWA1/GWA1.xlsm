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defaultThemeVersion="166925"/>
  <mc:AlternateContent xmlns:mc="http://schemas.openxmlformats.org/markup-compatibility/2006">
    <mc:Choice Requires="x15">
      <x15ac:absPath xmlns:x15ac="http://schemas.microsoft.com/office/spreadsheetml/2010/11/ac" url="\\wsl$\Ubuntu\home\haininhhoang94\Projects\wqu\MScFE650\GWA1\"/>
    </mc:Choice>
  </mc:AlternateContent>
  <xr:revisionPtr revIDLastSave="0" documentId="13_ncr:1_{656D2FDB-5296-4A35-87EE-C741DBE2A805}" xr6:coauthVersionLast="44" xr6:coauthVersionMax="44" xr10:uidLastSave="{00000000-0000-0000-0000-000000000000}"/>
  <bookViews>
    <workbookView xWindow="-108" yWindow="-108" windowWidth="23256" windowHeight="12576" xr2:uid="{7D1E2A0E-E4E3-4F6F-8F85-5F1696C61392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29" i="1" l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H42" i="1" s="1"/>
  <c r="H43" i="1" s="1"/>
  <c r="H44" i="1" s="1"/>
  <c r="H45" i="1" s="1"/>
  <c r="H46" i="1" s="1"/>
  <c r="H47" i="1" s="1"/>
  <c r="H48" i="1" s="1"/>
  <c r="H49" i="1" s="1"/>
  <c r="H50" i="1" s="1"/>
  <c r="H51" i="1" s="1"/>
  <c r="H52" i="1" s="1"/>
  <c r="H53" i="1" s="1"/>
  <c r="H54" i="1" s="1"/>
  <c r="H55" i="1" s="1"/>
  <c r="H56" i="1" s="1"/>
  <c r="H57" i="1" s="1"/>
  <c r="H58" i="1" s="1"/>
  <c r="H59" i="1" s="1"/>
  <c r="H60" i="1" s="1"/>
  <c r="H61" i="1" s="1"/>
  <c r="H62" i="1" s="1"/>
  <c r="H63" i="1" s="1"/>
  <c r="H64" i="1" s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H94" i="1" s="1"/>
  <c r="H95" i="1" s="1"/>
  <c r="H96" i="1" s="1"/>
  <c r="H97" i="1" s="1"/>
  <c r="H98" i="1" s="1"/>
  <c r="H99" i="1" s="1"/>
  <c r="H100" i="1" s="1"/>
  <c r="H101" i="1" s="1"/>
  <c r="H102" i="1" s="1"/>
  <c r="H103" i="1" s="1"/>
  <c r="H104" i="1" s="1"/>
  <c r="H105" i="1" s="1"/>
  <c r="H106" i="1" s="1"/>
  <c r="H107" i="1" s="1"/>
  <c r="H108" i="1" s="1"/>
  <c r="H109" i="1" s="1"/>
  <c r="H110" i="1" s="1"/>
  <c r="H111" i="1" s="1"/>
  <c r="H112" i="1" s="1"/>
  <c r="H113" i="1" s="1"/>
  <c r="H114" i="1" s="1"/>
  <c r="H115" i="1" s="1"/>
  <c r="H116" i="1" s="1"/>
  <c r="H117" i="1" s="1"/>
  <c r="H118" i="1" s="1"/>
  <c r="H119" i="1" s="1"/>
  <c r="H120" i="1" s="1"/>
  <c r="H121" i="1" s="1"/>
  <c r="H122" i="1" s="1"/>
  <c r="H123" i="1" s="1"/>
  <c r="H124" i="1" s="1"/>
  <c r="H125" i="1" s="1"/>
  <c r="H126" i="1" s="1"/>
  <c r="H127" i="1" s="1"/>
  <c r="H128" i="1" s="1"/>
  <c r="H129" i="1" s="1"/>
  <c r="H130" i="1" s="1"/>
  <c r="H131" i="1" s="1"/>
  <c r="H132" i="1" s="1"/>
  <c r="H133" i="1" s="1"/>
  <c r="H134" i="1" s="1"/>
  <c r="H135" i="1" s="1"/>
  <c r="H136" i="1" s="1"/>
  <c r="H137" i="1" s="1"/>
  <c r="H138" i="1" s="1"/>
  <c r="H139" i="1" s="1"/>
  <c r="H140" i="1" s="1"/>
  <c r="H141" i="1" s="1"/>
  <c r="H142" i="1" s="1"/>
  <c r="H143" i="1" s="1"/>
  <c r="H144" i="1" s="1"/>
  <c r="H145" i="1" s="1"/>
  <c r="H146" i="1" s="1"/>
  <c r="H147" i="1" s="1"/>
  <c r="H148" i="1" s="1"/>
  <c r="H149" i="1" s="1"/>
  <c r="H150" i="1" s="1"/>
  <c r="H151" i="1" s="1"/>
  <c r="H152" i="1" s="1"/>
  <c r="H153" i="1" s="1"/>
  <c r="H154" i="1" s="1"/>
  <c r="H155" i="1" s="1"/>
  <c r="H156" i="1" s="1"/>
  <c r="H157" i="1" s="1"/>
  <c r="H158" i="1" s="1"/>
  <c r="H159" i="1" s="1"/>
  <c r="H160" i="1" s="1"/>
  <c r="H161" i="1" s="1"/>
  <c r="H162" i="1" s="1"/>
  <c r="H163" i="1" s="1"/>
  <c r="H164" i="1" s="1"/>
  <c r="H165" i="1" s="1"/>
  <c r="H166" i="1" s="1"/>
  <c r="H167" i="1" s="1"/>
  <c r="H168" i="1" s="1"/>
  <c r="H169" i="1" s="1"/>
  <c r="H170" i="1" s="1"/>
  <c r="H171" i="1" s="1"/>
  <c r="H172" i="1" s="1"/>
  <c r="H173" i="1" s="1"/>
  <c r="H174" i="1" s="1"/>
  <c r="H175" i="1" s="1"/>
  <c r="H176" i="1" s="1"/>
  <c r="H177" i="1" s="1"/>
  <c r="H178" i="1" s="1"/>
  <c r="H179" i="1" s="1"/>
  <c r="H180" i="1" s="1"/>
  <c r="H181" i="1" s="1"/>
  <c r="H182" i="1" s="1"/>
  <c r="H183" i="1" s="1"/>
  <c r="H184" i="1" s="1"/>
  <c r="H185" i="1" s="1"/>
  <c r="H186" i="1" s="1"/>
  <c r="H187" i="1" s="1"/>
  <c r="H188" i="1" s="1"/>
  <c r="H189" i="1" s="1"/>
  <c r="H190" i="1" s="1"/>
  <c r="H191" i="1" s="1"/>
  <c r="H192" i="1" s="1"/>
  <c r="H193" i="1" s="1"/>
  <c r="H194" i="1" s="1"/>
  <c r="H195" i="1" s="1"/>
  <c r="H196" i="1" s="1"/>
  <c r="H197" i="1" s="1"/>
  <c r="H198" i="1" s="1"/>
  <c r="H199" i="1" s="1"/>
  <c r="H200" i="1" s="1"/>
  <c r="H201" i="1" s="1"/>
  <c r="H202" i="1" s="1"/>
  <c r="H203" i="1" s="1"/>
  <c r="H204" i="1" s="1"/>
  <c r="H205" i="1" s="1"/>
  <c r="H206" i="1" s="1"/>
  <c r="H207" i="1" s="1"/>
  <c r="H208" i="1" s="1"/>
  <c r="H209" i="1" s="1"/>
  <c r="H210" i="1" s="1"/>
  <c r="H211" i="1" s="1"/>
  <c r="H212" i="1" s="1"/>
  <c r="H213" i="1" s="1"/>
  <c r="H214" i="1" s="1"/>
  <c r="H215" i="1" s="1"/>
  <c r="H216" i="1" s="1"/>
  <c r="H217" i="1" s="1"/>
  <c r="H218" i="1" s="1"/>
  <c r="H219" i="1" s="1"/>
  <c r="H220" i="1" s="1"/>
  <c r="H221" i="1" s="1"/>
  <c r="H222" i="1" s="1"/>
  <c r="H223" i="1" s="1"/>
  <c r="H224" i="1" s="1"/>
  <c r="H225" i="1" s="1"/>
  <c r="H226" i="1" s="1"/>
  <c r="H227" i="1" s="1"/>
  <c r="H228" i="1" s="1"/>
  <c r="H229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H438" i="1" s="1"/>
  <c r="H439" i="1" s="1"/>
  <c r="H440" i="1" s="1"/>
  <c r="H441" i="1" s="1"/>
  <c r="H442" i="1" s="1"/>
  <c r="H443" i="1" s="1"/>
  <c r="H444" i="1" s="1"/>
  <c r="H445" i="1" s="1"/>
  <c r="H446" i="1" s="1"/>
  <c r="H447" i="1" s="1"/>
  <c r="H448" i="1" s="1"/>
  <c r="H449" i="1" s="1"/>
  <c r="H450" i="1" s="1"/>
  <c r="H451" i="1" s="1"/>
  <c r="H452" i="1" s="1"/>
  <c r="H453" i="1" s="1"/>
  <c r="H454" i="1" s="1"/>
  <c r="H455" i="1" s="1"/>
  <c r="H456" i="1" s="1"/>
  <c r="H457" i="1" s="1"/>
  <c r="H458" i="1" s="1"/>
  <c r="H459" i="1" s="1"/>
  <c r="H460" i="1" s="1"/>
  <c r="H461" i="1" s="1"/>
  <c r="H462" i="1" s="1"/>
  <c r="H463" i="1" s="1"/>
  <c r="H464" i="1" s="1"/>
  <c r="H465" i="1" s="1"/>
  <c r="H466" i="1" s="1"/>
  <c r="H467" i="1" s="1"/>
  <c r="H468" i="1" s="1"/>
  <c r="H469" i="1" s="1"/>
  <c r="H470" i="1" s="1"/>
  <c r="H471" i="1" s="1"/>
  <c r="H472" i="1" s="1"/>
  <c r="H473" i="1" s="1"/>
  <c r="H474" i="1" s="1"/>
  <c r="H475" i="1" s="1"/>
  <c r="H476" i="1" s="1"/>
  <c r="H477" i="1" s="1"/>
  <c r="H478" i="1" s="1"/>
  <c r="H479" i="1" s="1"/>
  <c r="H480" i="1" s="1"/>
  <c r="H481" i="1" s="1"/>
  <c r="H482" i="1" s="1"/>
  <c r="H483" i="1" s="1"/>
  <c r="H484" i="1" s="1"/>
  <c r="H485" i="1" s="1"/>
  <c r="H486" i="1" s="1"/>
  <c r="H487" i="1" s="1"/>
  <c r="H488" i="1" s="1"/>
  <c r="H489" i="1" s="1"/>
  <c r="H490" i="1" s="1"/>
  <c r="H491" i="1" s="1"/>
  <c r="H492" i="1" s="1"/>
  <c r="H493" i="1" s="1"/>
  <c r="H494" i="1" s="1"/>
  <c r="H495" i="1" s="1"/>
  <c r="H496" i="1" s="1"/>
  <c r="H497" i="1" s="1"/>
  <c r="H498" i="1" s="1"/>
  <c r="H499" i="1" s="1"/>
  <c r="H500" i="1" s="1"/>
  <c r="H501" i="1" s="1"/>
  <c r="H502" i="1" s="1"/>
  <c r="H503" i="1" s="1"/>
  <c r="H504" i="1" s="1"/>
  <c r="H505" i="1" s="1"/>
  <c r="H506" i="1" s="1"/>
  <c r="H507" i="1" s="1"/>
  <c r="H508" i="1" s="1"/>
  <c r="H509" i="1" s="1"/>
  <c r="H510" i="1" s="1"/>
  <c r="H511" i="1" s="1"/>
  <c r="H512" i="1" s="1"/>
  <c r="H513" i="1" s="1"/>
  <c r="H514" i="1" s="1"/>
  <c r="H515" i="1" s="1"/>
  <c r="H516" i="1" s="1"/>
  <c r="H517" i="1" s="1"/>
  <c r="H518" i="1" s="1"/>
  <c r="H519" i="1" s="1"/>
  <c r="H520" i="1" s="1"/>
  <c r="H521" i="1" s="1"/>
  <c r="H522" i="1" s="1"/>
  <c r="H523" i="1" s="1"/>
  <c r="H524" i="1" s="1"/>
  <c r="H525" i="1" s="1"/>
  <c r="H526" i="1" s="1"/>
  <c r="H527" i="1" s="1"/>
  <c r="H528" i="1" s="1"/>
  <c r="H529" i="1" s="1"/>
  <c r="H530" i="1" s="1"/>
  <c r="H531" i="1" s="1"/>
  <c r="H532" i="1" s="1"/>
  <c r="H533" i="1" s="1"/>
  <c r="H534" i="1" s="1"/>
  <c r="H535" i="1" s="1"/>
  <c r="H536" i="1" s="1"/>
  <c r="H537" i="1" s="1"/>
  <c r="H538" i="1" s="1"/>
  <c r="H539" i="1" s="1"/>
  <c r="H540" i="1" s="1"/>
  <c r="H28" i="1"/>
  <c r="G27" i="1"/>
  <c r="H27" i="1"/>
  <c r="D7" i="2"/>
  <c r="D6" i="2"/>
  <c r="D5" i="2"/>
  <c r="D8" i="2"/>
  <c r="D9" i="2" s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28" i="1"/>
  <c r="E27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4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" i="1"/>
  <c r="C4" i="1"/>
  <c r="O16" i="1" s="1"/>
  <c r="O12" i="1"/>
  <c r="O11" i="1"/>
  <c r="O13" i="1" l="1"/>
  <c r="O14" i="1"/>
  <c r="O15" i="1"/>
</calcChain>
</file>

<file path=xl/sharedStrings.xml><?xml version="1.0" encoding="utf-8"?>
<sst xmlns="http://schemas.openxmlformats.org/spreadsheetml/2006/main" count="383" uniqueCount="353">
  <si>
    <t>Date</t>
  </si>
  <si>
    <t>Adj Close</t>
  </si>
  <si>
    <t>22/3/2018</t>
  </si>
  <si>
    <t>23/3/2018</t>
  </si>
  <si>
    <t>26/3/2018</t>
  </si>
  <si>
    <t>27/3/2018</t>
  </si>
  <si>
    <t>28/3/2018</t>
  </si>
  <si>
    <t>29/3/2018</t>
  </si>
  <si>
    <t>13/4/2018</t>
  </si>
  <si>
    <t>16/4/2018</t>
  </si>
  <si>
    <t>17/4/2018</t>
  </si>
  <si>
    <t>18/4/2018</t>
  </si>
  <si>
    <t>19/4/2018</t>
  </si>
  <si>
    <t>20/4/2018</t>
  </si>
  <si>
    <t>23/4/2018</t>
  </si>
  <si>
    <t>24/4/2018</t>
  </si>
  <si>
    <t>25/4/2018</t>
  </si>
  <si>
    <t>26/4/2018</t>
  </si>
  <si>
    <t>27/4/2018</t>
  </si>
  <si>
    <t>30/4/2018</t>
  </si>
  <si>
    <t>14/5/2018</t>
  </si>
  <si>
    <t>15/5/2018</t>
  </si>
  <si>
    <t>16/5/2018</t>
  </si>
  <si>
    <t>17/5/2018</t>
  </si>
  <si>
    <t>18/5/2018</t>
  </si>
  <si>
    <t>21/5/2018</t>
  </si>
  <si>
    <t>22/5/2018</t>
  </si>
  <si>
    <t>23/5/2018</t>
  </si>
  <si>
    <t>24/5/2018</t>
  </si>
  <si>
    <t>25/5/2018</t>
  </si>
  <si>
    <t>29/5/2018</t>
  </si>
  <si>
    <t>30/5/2018</t>
  </si>
  <si>
    <t>31/5/2018</t>
  </si>
  <si>
    <t>13/6/2018</t>
  </si>
  <si>
    <t>14/6/2018</t>
  </si>
  <si>
    <t>15/6/2018</t>
  </si>
  <si>
    <t>18/6/2018</t>
  </si>
  <si>
    <t>19/6/2018</t>
  </si>
  <si>
    <t>20/6/2018</t>
  </si>
  <si>
    <t>21/6/2018</t>
  </si>
  <si>
    <t>22/6/2018</t>
  </si>
  <si>
    <t>25/6/2018</t>
  </si>
  <si>
    <t>26/6/2018</t>
  </si>
  <si>
    <t>27/6/2018</t>
  </si>
  <si>
    <t>28/6/2018</t>
  </si>
  <si>
    <t>29/6/2018</t>
  </si>
  <si>
    <t>13/7/2018</t>
  </si>
  <si>
    <t>16/7/2018</t>
  </si>
  <si>
    <t>17/7/2018</t>
  </si>
  <si>
    <t>18/7/2018</t>
  </si>
  <si>
    <t>19/7/2018</t>
  </si>
  <si>
    <t>20/7/2018</t>
  </si>
  <si>
    <t>23/7/2018</t>
  </si>
  <si>
    <t>24/7/2018</t>
  </si>
  <si>
    <t>25/7/2018</t>
  </si>
  <si>
    <t>26/7/2018</t>
  </si>
  <si>
    <t>27/7/2018</t>
  </si>
  <si>
    <t>30/7/2018</t>
  </si>
  <si>
    <t>31/7/2018</t>
  </si>
  <si>
    <t>13/8/2018</t>
  </si>
  <si>
    <t>14/8/2018</t>
  </si>
  <si>
    <t>15/8/2018</t>
  </si>
  <si>
    <t>16/8/2018</t>
  </si>
  <si>
    <t>17/8/2018</t>
  </si>
  <si>
    <t>20/8/2018</t>
  </si>
  <si>
    <t>21/8/2018</t>
  </si>
  <si>
    <t>22/8/2018</t>
  </si>
  <si>
    <t>23/8/2018</t>
  </si>
  <si>
    <t>24/8/2018</t>
  </si>
  <si>
    <t>27/8/2018</t>
  </si>
  <si>
    <t>28/8/2018</t>
  </si>
  <si>
    <t>29/8/2018</t>
  </si>
  <si>
    <t>30/8/2018</t>
  </si>
  <si>
    <t>31/8/2018</t>
  </si>
  <si>
    <t>13/9/2018</t>
  </si>
  <si>
    <t>14/9/2018</t>
  </si>
  <si>
    <t>17/9/2018</t>
  </si>
  <si>
    <t>18/9/2018</t>
  </si>
  <si>
    <t>19/9/2018</t>
  </si>
  <si>
    <t>20/9/2018</t>
  </si>
  <si>
    <t>21/9/2018</t>
  </si>
  <si>
    <t>24/9/2018</t>
  </si>
  <si>
    <t>25/9/2018</t>
  </si>
  <si>
    <t>26/9/2018</t>
  </si>
  <si>
    <t>27/9/2018</t>
  </si>
  <si>
    <t>28/9/2018</t>
  </si>
  <si>
    <t>15/10/2018</t>
  </si>
  <si>
    <t>16/10/2018</t>
  </si>
  <si>
    <t>17/10/2018</t>
  </si>
  <si>
    <t>18/10/2018</t>
  </si>
  <si>
    <t>19/10/2018</t>
  </si>
  <si>
    <t>22/10/2018</t>
  </si>
  <si>
    <t>23/10/2018</t>
  </si>
  <si>
    <t>24/10/2018</t>
  </si>
  <si>
    <t>25/10/2018</t>
  </si>
  <si>
    <t>26/10/2018</t>
  </si>
  <si>
    <t>29/10/2018</t>
  </si>
  <si>
    <t>30/10/2018</t>
  </si>
  <si>
    <t>31/10/2018</t>
  </si>
  <si>
    <t>13/11/2018</t>
  </si>
  <si>
    <t>14/11/2018</t>
  </si>
  <si>
    <t>15/11/2018</t>
  </si>
  <si>
    <t>16/11/2018</t>
  </si>
  <si>
    <t>19/11/2018</t>
  </si>
  <si>
    <t>20/11/2018</t>
  </si>
  <si>
    <t>21/11/2018</t>
  </si>
  <si>
    <t>23/11/2018</t>
  </si>
  <si>
    <t>26/11/2018</t>
  </si>
  <si>
    <t>27/11/2018</t>
  </si>
  <si>
    <t>28/11/2018</t>
  </si>
  <si>
    <t>29/11/2018</t>
  </si>
  <si>
    <t>30/11/2018</t>
  </si>
  <si>
    <t>13/12/2018</t>
  </si>
  <si>
    <t>14/12/2018</t>
  </si>
  <si>
    <t>17/12/2018</t>
  </si>
  <si>
    <t>18/12/2018</t>
  </si>
  <si>
    <t>19/12/2018</t>
  </si>
  <si>
    <t>20/12/2018</t>
  </si>
  <si>
    <t>21/12/2018</t>
  </si>
  <si>
    <t>24/12/2018</t>
  </si>
  <si>
    <t>26/12/2018</t>
  </si>
  <si>
    <t>27/12/2018</t>
  </si>
  <si>
    <t>28/12/2018</t>
  </si>
  <si>
    <t>31/12/2018</t>
  </si>
  <si>
    <t>14/1/2019</t>
  </si>
  <si>
    <t>15/1/2019</t>
  </si>
  <si>
    <t>16/1/2019</t>
  </si>
  <si>
    <t>17/1/2019</t>
  </si>
  <si>
    <t>18/1/2019</t>
  </si>
  <si>
    <t>22/1/2019</t>
  </si>
  <si>
    <t>23/1/2019</t>
  </si>
  <si>
    <t>24/1/2019</t>
  </si>
  <si>
    <t>25/1/2019</t>
  </si>
  <si>
    <t>28/1/2019</t>
  </si>
  <si>
    <t>29/1/2019</t>
  </si>
  <si>
    <t>30/1/2019</t>
  </si>
  <si>
    <t>31/1/2019</t>
  </si>
  <si>
    <t>13/2/2019</t>
  </si>
  <si>
    <t>14/2/2019</t>
  </si>
  <si>
    <t>15/2/2019</t>
  </si>
  <si>
    <t>19/2/2019</t>
  </si>
  <si>
    <t>20/2/2019</t>
  </si>
  <si>
    <t>21/2/2019</t>
  </si>
  <si>
    <t>22/2/2019</t>
  </si>
  <si>
    <t>25/2/2019</t>
  </si>
  <si>
    <t>26/2/2019</t>
  </si>
  <si>
    <t>27/2/2019</t>
  </si>
  <si>
    <t>28/2/2019</t>
  </si>
  <si>
    <t>13/3/2019</t>
  </si>
  <si>
    <t>14/3/2019</t>
  </si>
  <si>
    <t>15/3/2019</t>
  </si>
  <si>
    <t>18/3/2019</t>
  </si>
  <si>
    <t>19/3/2019</t>
  </si>
  <si>
    <t>20/3/2019</t>
  </si>
  <si>
    <t>21/3/2019</t>
  </si>
  <si>
    <t>22/3/2019</t>
  </si>
  <si>
    <t>25/3/2019</t>
  </si>
  <si>
    <t>26/3/2019</t>
  </si>
  <si>
    <t>27/3/2019</t>
  </si>
  <si>
    <t>28/3/2019</t>
  </si>
  <si>
    <t>29/3/2019</t>
  </si>
  <si>
    <t>15/4/2019</t>
  </si>
  <si>
    <t>16/4/2019</t>
  </si>
  <si>
    <t>17/4/2019</t>
  </si>
  <si>
    <t>18/4/2019</t>
  </si>
  <si>
    <t>22/4/2019</t>
  </si>
  <si>
    <t>23/4/2019</t>
  </si>
  <si>
    <t>24/4/2019</t>
  </si>
  <si>
    <t>25/4/2019</t>
  </si>
  <si>
    <t>26/4/2019</t>
  </si>
  <si>
    <t>29/4/2019</t>
  </si>
  <si>
    <t>30/4/2019</t>
  </si>
  <si>
    <t>13/5/2019</t>
  </si>
  <si>
    <t>14/5/2019</t>
  </si>
  <si>
    <t>15/5/2019</t>
  </si>
  <si>
    <t>16/5/2019</t>
  </si>
  <si>
    <t>17/5/2019</t>
  </si>
  <si>
    <t>20/5/2019</t>
  </si>
  <si>
    <t>21/5/2019</t>
  </si>
  <si>
    <t>22/5/2019</t>
  </si>
  <si>
    <t>23/5/2019</t>
  </si>
  <si>
    <t>24/5/2019</t>
  </si>
  <si>
    <t>28/5/2019</t>
  </si>
  <si>
    <t>29/5/2019</t>
  </si>
  <si>
    <t>30/5/2019</t>
  </si>
  <si>
    <t>31/5/2019</t>
  </si>
  <si>
    <t>13/6/2019</t>
  </si>
  <si>
    <t>14/6/2019</t>
  </si>
  <si>
    <t>17/6/2019</t>
  </si>
  <si>
    <t>18/6/2019</t>
  </si>
  <si>
    <t>19/6/2019</t>
  </si>
  <si>
    <t>20/6/2019</t>
  </si>
  <si>
    <t>21/6/2019</t>
  </si>
  <si>
    <t>24/6/2019</t>
  </si>
  <si>
    <t>25/6/2019</t>
  </si>
  <si>
    <t>26/6/2019</t>
  </si>
  <si>
    <t>27/6/2019</t>
  </si>
  <si>
    <t>28/6/2019</t>
  </si>
  <si>
    <t>15/7/2019</t>
  </si>
  <si>
    <t>16/7/2019</t>
  </si>
  <si>
    <t>17/7/2019</t>
  </si>
  <si>
    <t>18/7/2019</t>
  </si>
  <si>
    <t>19/7/2019</t>
  </si>
  <si>
    <t>22/7/2019</t>
  </si>
  <si>
    <t>23/7/2019</t>
  </si>
  <si>
    <t>24/7/2019</t>
  </si>
  <si>
    <t>25/7/2019</t>
  </si>
  <si>
    <t>26/7/2019</t>
  </si>
  <si>
    <t>29/7/2019</t>
  </si>
  <si>
    <t>30/7/2019</t>
  </si>
  <si>
    <t>31/7/2019</t>
  </si>
  <si>
    <t>13/8/2019</t>
  </si>
  <si>
    <t>14/8/2019</t>
  </si>
  <si>
    <t>15/8/2019</t>
  </si>
  <si>
    <t>16/8/2019</t>
  </si>
  <si>
    <t>19/8/2019</t>
  </si>
  <si>
    <t>20/8/2019</t>
  </si>
  <si>
    <t>21/8/2019</t>
  </si>
  <si>
    <t>22/8/2019</t>
  </si>
  <si>
    <t>23/8/2019</t>
  </si>
  <si>
    <t>26/8/2019</t>
  </si>
  <si>
    <t>27/8/2019</t>
  </si>
  <si>
    <t>28/8/2019</t>
  </si>
  <si>
    <t>29/8/2019</t>
  </si>
  <si>
    <t>30/8/2019</t>
  </si>
  <si>
    <t>13/9/2019</t>
  </si>
  <si>
    <t>16/9/2019</t>
  </si>
  <si>
    <t>17/9/2019</t>
  </si>
  <si>
    <t>18/9/2019</t>
  </si>
  <si>
    <t>19/9/2019</t>
  </si>
  <si>
    <t>20/9/2019</t>
  </si>
  <si>
    <t>23/9/2019</t>
  </si>
  <si>
    <t>24/9/2019</t>
  </si>
  <si>
    <t>25/9/2019</t>
  </si>
  <si>
    <t>26/9/2019</t>
  </si>
  <si>
    <t>27/9/2019</t>
  </si>
  <si>
    <t>30/9/2019</t>
  </si>
  <si>
    <t>14/10/2019</t>
  </si>
  <si>
    <t>15/10/2019</t>
  </si>
  <si>
    <t>16/10/2019</t>
  </si>
  <si>
    <t>17/10/2019</t>
  </si>
  <si>
    <t>18/10/2019</t>
  </si>
  <si>
    <t>21/10/2019</t>
  </si>
  <si>
    <t>22/10/2019</t>
  </si>
  <si>
    <t>23/10/2019</t>
  </si>
  <si>
    <t>24/10/2019</t>
  </si>
  <si>
    <t>25/10/2019</t>
  </si>
  <si>
    <t>28/10/2019</t>
  </si>
  <si>
    <t>29/10/2019</t>
  </si>
  <si>
    <t>30/10/2019</t>
  </si>
  <si>
    <t>31/10/2019</t>
  </si>
  <si>
    <t>13/11/2019</t>
  </si>
  <si>
    <t>14/11/2019</t>
  </si>
  <si>
    <t>15/11/2019</t>
  </si>
  <si>
    <t>18/11/2019</t>
  </si>
  <si>
    <t>19/11/2019</t>
  </si>
  <si>
    <t>20/11/2019</t>
  </si>
  <si>
    <t>21/11/2019</t>
  </si>
  <si>
    <t>22/11/2019</t>
  </si>
  <si>
    <t>25/11/2019</t>
  </si>
  <si>
    <t>26/11/2019</t>
  </si>
  <si>
    <t>27/11/2019</t>
  </si>
  <si>
    <t>29/11/2019</t>
  </si>
  <si>
    <t>13/12/2019</t>
  </si>
  <si>
    <t>16/12/2019</t>
  </si>
  <si>
    <t>17/12/2019</t>
  </si>
  <si>
    <t>18/12/2019</t>
  </si>
  <si>
    <t>19/12/2019</t>
  </si>
  <si>
    <t>20/12/2019</t>
  </si>
  <si>
    <t>23/12/2019</t>
  </si>
  <si>
    <t>24/12/2019</t>
  </si>
  <si>
    <t>26/12/2019</t>
  </si>
  <si>
    <t>27/12/2019</t>
  </si>
  <si>
    <t>30/12/2019</t>
  </si>
  <si>
    <t>31/12/2019</t>
  </si>
  <si>
    <t>13/1/2020</t>
  </si>
  <si>
    <t>14/1/2020</t>
  </si>
  <si>
    <t>15/1/2020</t>
  </si>
  <si>
    <t>16/1/2020</t>
  </si>
  <si>
    <t>17/1/2020</t>
  </si>
  <si>
    <t>21/1/2020</t>
  </si>
  <si>
    <t>22/1/2020</t>
  </si>
  <si>
    <t>23/1/2020</t>
  </si>
  <si>
    <t>24/1/2020</t>
  </si>
  <si>
    <t>27/1/2020</t>
  </si>
  <si>
    <t>28/1/2020</t>
  </si>
  <si>
    <t>29/1/2020</t>
  </si>
  <si>
    <t>30/1/2020</t>
  </si>
  <si>
    <t>31/1/2020</t>
  </si>
  <si>
    <t>13/2/2020</t>
  </si>
  <si>
    <t>14/2/2020</t>
  </si>
  <si>
    <t>18/2/2020</t>
  </si>
  <si>
    <t>19/2/2020</t>
  </si>
  <si>
    <t>20/2/2020</t>
  </si>
  <si>
    <t>21/2/2020</t>
  </si>
  <si>
    <t>24/2/2020</t>
  </si>
  <si>
    <t>25/2/2020</t>
  </si>
  <si>
    <t>26/2/2020</t>
  </si>
  <si>
    <t>27/2/2020</t>
  </si>
  <si>
    <t>28/2/2020</t>
  </si>
  <si>
    <t>13/3/2020</t>
  </si>
  <si>
    <t>16/3/2020</t>
  </si>
  <si>
    <t>17/3/2020</t>
  </si>
  <si>
    <t>18/3/2020</t>
  </si>
  <si>
    <t>19/3/2020</t>
  </si>
  <si>
    <t>20/3/2020</t>
  </si>
  <si>
    <t>23/3/2020</t>
  </si>
  <si>
    <t>24/3/2020</t>
  </si>
  <si>
    <t>25/3/2020</t>
  </si>
  <si>
    <t>26/3/2020</t>
  </si>
  <si>
    <t>27/3/2020</t>
  </si>
  <si>
    <t>30/3/2020</t>
  </si>
  <si>
    <t>31/3/2020</t>
  </si>
  <si>
    <t>13/4/2020</t>
  </si>
  <si>
    <t>14/4/2020</t>
  </si>
  <si>
    <t>15/4/2020</t>
  </si>
  <si>
    <t>16/4/2020</t>
  </si>
  <si>
    <t>17/4/2020</t>
  </si>
  <si>
    <t>20/4/2020</t>
  </si>
  <si>
    <t>21/4/2020</t>
  </si>
  <si>
    <t>22/4/2020</t>
  </si>
  <si>
    <t>23/4/2020</t>
  </si>
  <si>
    <t>24/4/2020</t>
  </si>
  <si>
    <t>27/4/2020</t>
  </si>
  <si>
    <t>28/4/2020</t>
  </si>
  <si>
    <t>29/4/2020</t>
  </si>
  <si>
    <t>30/4/2020</t>
  </si>
  <si>
    <t>Input</t>
  </si>
  <si>
    <t>Question</t>
  </si>
  <si>
    <t>·        Calculate mean and standard deviation</t>
  </si>
  <si>
    <t>·        Implement technical indicators (moving average, EWMA) </t>
  </si>
  <si>
    <t>·        Identify structural breaks</t>
  </si>
  <si>
    <t>·        Apply Bera-Jarque test for returns</t>
  </si>
  <si>
    <t>·        Apply a cointegration test. You can use macroeconomic variables or sentiment indicators in the required test</t>
  </si>
  <si>
    <t>·        Forecast next period (t+1) asset return evolution using AR(1) model</t>
  </si>
  <si>
    <t>·        Provide line charts</t>
  </si>
  <si>
    <t>Mean</t>
  </si>
  <si>
    <t>Standard Deviation</t>
  </si>
  <si>
    <t>1. Calculate mean and standard deviation</t>
  </si>
  <si>
    <t>Price</t>
  </si>
  <si>
    <t>Log Return</t>
  </si>
  <si>
    <t>Return</t>
  </si>
  <si>
    <t>-</t>
  </si>
  <si>
    <t>2. Implement technical indicator (Simple Moving Average 25) &amp; EWMA (Exponential)</t>
  </si>
  <si>
    <t>SMA25</t>
  </si>
  <si>
    <t>EWMA25</t>
  </si>
  <si>
    <t>Time</t>
  </si>
  <si>
    <t>Ob</t>
  </si>
  <si>
    <t>EWMA</t>
  </si>
  <si>
    <t>a</t>
  </si>
  <si>
    <t>3. Identify Structural Breaks</t>
  </si>
  <si>
    <t>In Python</t>
  </si>
  <si>
    <t>4. Apply Bera-Jarque test for returns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</si>
</sst>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%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1">
    <xf numFmtId="0" fontId="0" fillId="0" borderId="0" xfId="0"/>
    <xf numFmtId="0" fontId="2" fillId="0" borderId="0" xfId="0" applyFont="1"/>
    <xf numFmtId="14" fontId="2" fillId="0" borderId="0" xfId="0" applyNumberFormat="1" applyFont="1"/>
    <xf numFmtId="0" fontId="2" fillId="0" borderId="0" xfId="0" applyFont="1" applyAlignment="1">
      <alignment horizontal="center"/>
    </xf>
    <xf numFmtId="164" fontId="2" fillId="0" borderId="0" xfId="0" applyNumberFormat="1" applyFont="1"/>
    <xf numFmtId="10" fontId="2" fillId="0" borderId="0" xfId="1" applyNumberFormat="1" applyFont="1" applyAlignment="1">
      <alignment horizontal="center"/>
    </xf>
    <xf numFmtId="10" fontId="2" fillId="0" borderId="0" xfId="1" applyNumberFormat="1" applyFont="1"/>
    <xf numFmtId="0" fontId="2" fillId="0" borderId="0" xfId="0" applyFont="1" applyAlignment="1">
      <alignment horizontal="center" vertical="center"/>
    </xf>
    <xf numFmtId="0" fontId="3" fillId="0" borderId="0" xfId="0" applyFont="1"/>
    <xf numFmtId="10" fontId="3" fillId="0" borderId="0" xfId="1" applyNumberFormat="1" applyFont="1"/>
    <xf numFmtId="0" fontId="4" fillId="0" borderId="0" xfId="0" applyFont="1"/>
    <xf numFmtId="10" fontId="4" fillId="0" borderId="0" xfId="1" applyNumberFormat="1" applyFont="1"/>
    <xf numFmtId="0" fontId="2" fillId="0" borderId="0" xfId="1" applyNumberFormat="1" applyFont="1"/>
    <xf numFmtId="0" fontId="3" fillId="0" borderId="0" xfId="1" applyNumberFormat="1" applyFont="1"/>
    <xf numFmtId="0" fontId="4" fillId="0" borderId="0" xfId="1" applyNumberFormat="1" applyFont="1"/>
    <xf numFmtId="165" fontId="2" fillId="0" borderId="0" xfId="1" applyNumberFormat="1" applyFont="1"/>
    <xf numFmtId="165" fontId="3" fillId="0" borderId="0" xfId="1" applyNumberFormat="1" applyFont="1"/>
    <xf numFmtId="165" fontId="4" fillId="0" borderId="0" xfId="1" applyNumberFormat="1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Log Return (SMA25)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Sheet1!$G$27:$G$540</c:f>
              <c:numCache>
                <c:formatCode>0.00%</c:formatCode>
                <c:ptCount val="514"/>
                <c:pt idx="0">
                  <c:v>-8.4238143538776528E-3</c:v>
                </c:pt>
                <c:pt idx="1">
                  <c:v>-7.4686591329674121E-3</c:v>
                </c:pt>
                <c:pt idx="2">
                  <c:v>-6.8981090828962059E-3</c:v>
                </c:pt>
                <c:pt idx="3">
                  <c:v>-7.160380485168062E-3</c:v>
                </c:pt>
                <c:pt idx="4">
                  <c:v>-7.4622002930356491E-3</c:v>
                </c:pt>
                <c:pt idx="5">
                  <c:v>-7.5482063573244348E-3</c:v>
                </c:pt>
                <c:pt idx="6">
                  <c:v>-7.7049102894260592E-3</c:v>
                </c:pt>
                <c:pt idx="7">
                  <c:v>-6.2868981043759124E-3</c:v>
                </c:pt>
                <c:pt idx="8">
                  <c:v>-7.0959739733186724E-3</c:v>
                </c:pt>
                <c:pt idx="9">
                  <c:v>-8.9611768695911833E-3</c:v>
                </c:pt>
                <c:pt idx="10">
                  <c:v>-8.5212738626450849E-3</c:v>
                </c:pt>
                <c:pt idx="11">
                  <c:v>-6.5424620498558995E-3</c:v>
                </c:pt>
                <c:pt idx="12">
                  <c:v>-6.3005456960395015E-3</c:v>
                </c:pt>
                <c:pt idx="13">
                  <c:v>-3.6762852403931E-3</c:v>
                </c:pt>
                <c:pt idx="14">
                  <c:v>-1.0977135238884181E-3</c:v>
                </c:pt>
                <c:pt idx="15">
                  <c:v>-2.5135833611584068E-3</c:v>
                </c:pt>
                <c:pt idx="16">
                  <c:v>-2.136897757763951E-3</c:v>
                </c:pt>
                <c:pt idx="17">
                  <c:v>-1.7780705028333582E-3</c:v>
                </c:pt>
                <c:pt idx="18">
                  <c:v>-2.5028358742200259E-3</c:v>
                </c:pt>
                <c:pt idx="19">
                  <c:v>-4.2964562833317441E-3</c:v>
                </c:pt>
                <c:pt idx="20">
                  <c:v>-2.8421813866732724E-3</c:v>
                </c:pt>
                <c:pt idx="21">
                  <c:v>-1.5352174324933703E-3</c:v>
                </c:pt>
                <c:pt idx="22">
                  <c:v>-2.638917064705188E-3</c:v>
                </c:pt>
                <c:pt idx="23">
                  <c:v>-2.0602254465693416E-3</c:v>
                </c:pt>
                <c:pt idx="24">
                  <c:v>-1.4469956988871096E-3</c:v>
                </c:pt>
                <c:pt idx="25">
                  <c:v>1.6011610699448826E-3</c:v>
                </c:pt>
                <c:pt idx="26">
                  <c:v>1.4186212693389105E-3</c:v>
                </c:pt>
                <c:pt idx="27">
                  <c:v>1.2401181103288241E-3</c:v>
                </c:pt>
                <c:pt idx="28">
                  <c:v>8.5059870684676216E-4</c:v>
                </c:pt>
                <c:pt idx="29">
                  <c:v>1.5781514489097231E-3</c:v>
                </c:pt>
                <c:pt idx="30">
                  <c:v>1.0370239958022594E-3</c:v>
                </c:pt>
                <c:pt idx="31">
                  <c:v>1.2884621657302171E-3</c:v>
                </c:pt>
                <c:pt idx="32">
                  <c:v>9.0447742715015346E-4</c:v>
                </c:pt>
                <c:pt idx="33">
                  <c:v>-7.609990404755324E-5</c:v>
                </c:pt>
                <c:pt idx="34">
                  <c:v>1.4979404642491965E-3</c:v>
                </c:pt>
                <c:pt idx="35">
                  <c:v>6.8427159579099344E-4</c:v>
                </c:pt>
                <c:pt idx="36">
                  <c:v>-1.5377241427158572E-4</c:v>
                </c:pt>
                <c:pt idx="37">
                  <c:v>-9.0525824925564784E-4</c:v>
                </c:pt>
                <c:pt idx="38">
                  <c:v>-1.0933310710890313E-3</c:v>
                </c:pt>
                <c:pt idx="39">
                  <c:v>-2.4081787584618202E-3</c:v>
                </c:pt>
                <c:pt idx="40">
                  <c:v>-2.1548850386240437E-3</c:v>
                </c:pt>
                <c:pt idx="41">
                  <c:v>-3.5644725140794374E-3</c:v>
                </c:pt>
                <c:pt idx="42">
                  <c:v>-4.9868412838442577E-3</c:v>
                </c:pt>
                <c:pt idx="43">
                  <c:v>-4.5579346952908427E-3</c:v>
                </c:pt>
                <c:pt idx="44">
                  <c:v>-4.5457538387968502E-3</c:v>
                </c:pt>
                <c:pt idx="45">
                  <c:v>-5.5023946364780611E-3</c:v>
                </c:pt>
                <c:pt idx="46">
                  <c:v>-6.3042700530110815E-3</c:v>
                </c:pt>
                <c:pt idx="47">
                  <c:v>-5.7572179922279164E-3</c:v>
                </c:pt>
                <c:pt idx="48">
                  <c:v>-5.2254657961269815E-3</c:v>
                </c:pt>
                <c:pt idx="49">
                  <c:v>-5.3546654741232222E-3</c:v>
                </c:pt>
                <c:pt idx="50">
                  <c:v>-4.5075229307405444E-3</c:v>
                </c:pt>
                <c:pt idx="51">
                  <c:v>-5.4781327633769174E-3</c:v>
                </c:pt>
                <c:pt idx="52">
                  <c:v>-8.2287964066782432E-3</c:v>
                </c:pt>
                <c:pt idx="53">
                  <c:v>-7.8310329092873762E-3</c:v>
                </c:pt>
                <c:pt idx="54">
                  <c:v>-6.6584421108129037E-3</c:v>
                </c:pt>
                <c:pt idx="55">
                  <c:v>-5.8152788237443879E-3</c:v>
                </c:pt>
                <c:pt idx="56">
                  <c:v>-6.6611348819049744E-3</c:v>
                </c:pt>
                <c:pt idx="57">
                  <c:v>-4.9331639914663213E-3</c:v>
                </c:pt>
                <c:pt idx="58">
                  <c:v>-4.7351323680859042E-3</c:v>
                </c:pt>
                <c:pt idx="59">
                  <c:v>-5.1452530824325701E-3</c:v>
                </c:pt>
                <c:pt idx="60">
                  <c:v>-4.6886331653291265E-3</c:v>
                </c:pt>
                <c:pt idx="61">
                  <c:v>-4.9988230414562971E-3</c:v>
                </c:pt>
                <c:pt idx="62">
                  <c:v>-3.3348363188887504E-3</c:v>
                </c:pt>
                <c:pt idx="63">
                  <c:v>-1.9627894618828453E-3</c:v>
                </c:pt>
                <c:pt idx="64">
                  <c:v>-1.7722505953819967E-3</c:v>
                </c:pt>
                <c:pt idx="65">
                  <c:v>-2.3718943486200454E-3</c:v>
                </c:pt>
                <c:pt idx="66">
                  <c:v>-1.4444173549552235E-4</c:v>
                </c:pt>
                <c:pt idx="67">
                  <c:v>-9.8430684342457487E-4</c:v>
                </c:pt>
                <c:pt idx="68">
                  <c:v>-3.4325767096959171E-4</c:v>
                </c:pt>
                <c:pt idx="69">
                  <c:v>2.3466733972890254E-4</c:v>
                </c:pt>
                <c:pt idx="70">
                  <c:v>5.6647573333625325E-4</c:v>
                </c:pt>
                <c:pt idx="71">
                  <c:v>-3.8684333514282798E-18</c:v>
                </c:pt>
                <c:pt idx="72">
                  <c:v>7.7193497238955554E-4</c:v>
                </c:pt>
                <c:pt idx="73">
                  <c:v>2.150537686210041E-5</c:v>
                </c:pt>
                <c:pt idx="74">
                  <c:v>-7.6915030624402744E-4</c:v>
                </c:pt>
                <c:pt idx="75">
                  <c:v>-2.5538304183468198E-3</c:v>
                </c:pt>
                <c:pt idx="76">
                  <c:v>-2.0247996338603304E-3</c:v>
                </c:pt>
                <c:pt idx="77">
                  <c:v>1.7127998873171268E-3</c:v>
                </c:pt>
                <c:pt idx="78">
                  <c:v>2.0714119727009857E-3</c:v>
                </c:pt>
                <c:pt idx="79">
                  <c:v>8.2814181073555466E-4</c:v>
                </c:pt>
                <c:pt idx="80">
                  <c:v>2.9165277512024383E-3</c:v>
                </c:pt>
                <c:pt idx="81">
                  <c:v>3.1419584457321611E-3</c:v>
                </c:pt>
                <c:pt idx="82">
                  <c:v>9.4716343282285861E-4</c:v>
                </c:pt>
                <c:pt idx="83">
                  <c:v>8.3789355626503169E-4</c:v>
                </c:pt>
                <c:pt idx="84">
                  <c:v>1.0854616574000409E-3</c:v>
                </c:pt>
                <c:pt idx="85">
                  <c:v>1.6315904771952139E-3</c:v>
                </c:pt>
                <c:pt idx="86">
                  <c:v>3.4176671465428448E-3</c:v>
                </c:pt>
                <c:pt idx="87">
                  <c:v>2.4589615629169695E-3</c:v>
                </c:pt>
                <c:pt idx="88">
                  <c:v>4.8719201612468287E-4</c:v>
                </c:pt>
                <c:pt idx="89">
                  <c:v>8.9593972051404513E-4</c:v>
                </c:pt>
                <c:pt idx="90">
                  <c:v>1.914632907874829E-3</c:v>
                </c:pt>
                <c:pt idx="91">
                  <c:v>2.3702246346513024E-4</c:v>
                </c:pt>
                <c:pt idx="92">
                  <c:v>4.5812193403230422E-4</c:v>
                </c:pt>
                <c:pt idx="93">
                  <c:v>6.200017232510835E-4</c:v>
                </c:pt>
                <c:pt idx="94">
                  <c:v>1.1427851021396501E-3</c:v>
                </c:pt>
                <c:pt idx="95">
                  <c:v>1.8052856244196763E-3</c:v>
                </c:pt>
                <c:pt idx="96">
                  <c:v>1.0305512171169058E-3</c:v>
                </c:pt>
                <c:pt idx="97">
                  <c:v>1.1203454509960058E-3</c:v>
                </c:pt>
                <c:pt idx="98">
                  <c:v>1.8793641508446099E-3</c:v>
                </c:pt>
                <c:pt idx="99">
                  <c:v>3.1537209294417255E-3</c:v>
                </c:pt>
                <c:pt idx="100">
                  <c:v>4.1334523066258837E-3</c:v>
                </c:pt>
                <c:pt idx="101">
                  <c:v>4.593933227551578E-3</c:v>
                </c:pt>
                <c:pt idx="102">
                  <c:v>4.4954128449122945E-3</c:v>
                </c:pt>
                <c:pt idx="103">
                  <c:v>5.3319088186198705E-3</c:v>
                </c:pt>
                <c:pt idx="104">
                  <c:v>4.2036345941592465E-3</c:v>
                </c:pt>
                <c:pt idx="105">
                  <c:v>8.070891714380224E-4</c:v>
                </c:pt>
                <c:pt idx="106">
                  <c:v>7.0124510703767514E-4</c:v>
                </c:pt>
                <c:pt idx="107">
                  <c:v>2.2938472599874958E-3</c:v>
                </c:pt>
                <c:pt idx="108">
                  <c:v>2.492225775886355E-3</c:v>
                </c:pt>
                <c:pt idx="109">
                  <c:v>8.0033850925905425E-4</c:v>
                </c:pt>
                <c:pt idx="110">
                  <c:v>-1.0449915096456925E-3</c:v>
                </c:pt>
                <c:pt idx="111">
                  <c:v>-1.8975484460786167E-3</c:v>
                </c:pt>
                <c:pt idx="112">
                  <c:v>-2.6412919496723915E-3</c:v>
                </c:pt>
                <c:pt idx="113">
                  <c:v>-4.1304399110217455E-3</c:v>
                </c:pt>
                <c:pt idx="114">
                  <c:v>-4.8083430989344514E-3</c:v>
                </c:pt>
                <c:pt idx="115">
                  <c:v>-7.7898130592348232E-3</c:v>
                </c:pt>
                <c:pt idx="116">
                  <c:v>-9.0853201549588574E-3</c:v>
                </c:pt>
                <c:pt idx="117">
                  <c:v>-8.2925389058261956E-3</c:v>
                </c:pt>
                <c:pt idx="118">
                  <c:v>-8.7115195827910368E-3</c:v>
                </c:pt>
                <c:pt idx="119">
                  <c:v>-8.6296827766409664E-3</c:v>
                </c:pt>
                <c:pt idx="120">
                  <c:v>-7.5350344138886719E-3</c:v>
                </c:pt>
                <c:pt idx="121">
                  <c:v>-6.269977355542882E-3</c:v>
                </c:pt>
                <c:pt idx="122">
                  <c:v>-8.3262304139487247E-3</c:v>
                </c:pt>
                <c:pt idx="123">
                  <c:v>-8.6192271427456193E-3</c:v>
                </c:pt>
                <c:pt idx="124">
                  <c:v>-9.0472303767863763E-3</c:v>
                </c:pt>
                <c:pt idx="125">
                  <c:v>-9.2316804758364908E-3</c:v>
                </c:pt>
                <c:pt idx="126">
                  <c:v>-1.2623203123024854E-2</c:v>
                </c:pt>
                <c:pt idx="127">
                  <c:v>-1.030915810513449E-2</c:v>
                </c:pt>
                <c:pt idx="128">
                  <c:v>-1.1798125037872918E-2</c:v>
                </c:pt>
                <c:pt idx="129">
                  <c:v>-1.0120596095762166E-2</c:v>
                </c:pt>
                <c:pt idx="130">
                  <c:v>-6.5389629798105649E-3</c:v>
                </c:pt>
                <c:pt idx="131">
                  <c:v>-6.2770716199971746E-3</c:v>
                </c:pt>
                <c:pt idx="132">
                  <c:v>-5.2837753663300957E-3</c:v>
                </c:pt>
                <c:pt idx="133">
                  <c:v>-5.1613284969049241E-3</c:v>
                </c:pt>
                <c:pt idx="134">
                  <c:v>-4.023925064298323E-3</c:v>
                </c:pt>
                <c:pt idx="135">
                  <c:v>-3.5054881770444344E-3</c:v>
                </c:pt>
                <c:pt idx="136">
                  <c:v>-1.8268014733275411E-3</c:v>
                </c:pt>
                <c:pt idx="137">
                  <c:v>-1.023463562548816E-3</c:v>
                </c:pt>
                <c:pt idx="138">
                  <c:v>-1.3445390810820537E-4</c:v>
                </c:pt>
                <c:pt idx="139">
                  <c:v>1.163718437666579E-3</c:v>
                </c:pt>
                <c:pt idx="140">
                  <c:v>4.855475436200983E-3</c:v>
                </c:pt>
                <c:pt idx="141">
                  <c:v>7.5883510091188768E-3</c:v>
                </c:pt>
                <c:pt idx="142">
                  <c:v>7.7163753032983727E-3</c:v>
                </c:pt>
                <c:pt idx="143">
                  <c:v>7.0437089705406549E-3</c:v>
                </c:pt>
                <c:pt idx="144">
                  <c:v>4.8947199455426109E-3</c:v>
                </c:pt>
                <c:pt idx="145">
                  <c:v>2.7907295726154603E-3</c:v>
                </c:pt>
                <c:pt idx="146">
                  <c:v>3.252117891432948E-3</c:v>
                </c:pt>
                <c:pt idx="147">
                  <c:v>6.8646405579477609E-3</c:v>
                </c:pt>
                <c:pt idx="148">
                  <c:v>7.0397305274725744E-3</c:v>
                </c:pt>
                <c:pt idx="149">
                  <c:v>7.0895581492195336E-3</c:v>
                </c:pt>
                <c:pt idx="150">
                  <c:v>7.4853916797635736E-3</c:v>
                </c:pt>
                <c:pt idx="151">
                  <c:v>9.5494636258791239E-3</c:v>
                </c:pt>
                <c:pt idx="152">
                  <c:v>8.7313769839296815E-3</c:v>
                </c:pt>
                <c:pt idx="153">
                  <c:v>8.1089212285225028E-3</c:v>
                </c:pt>
                <c:pt idx="154">
                  <c:v>4.8458592531175817E-3</c:v>
                </c:pt>
                <c:pt idx="155">
                  <c:v>2.6615841984169715E-3</c:v>
                </c:pt>
                <c:pt idx="156">
                  <c:v>-1.6483731479062017E-3</c:v>
                </c:pt>
                <c:pt idx="157">
                  <c:v>-2.7725256206268369E-3</c:v>
                </c:pt>
                <c:pt idx="158">
                  <c:v>-2.4165706104519813E-3</c:v>
                </c:pt>
                <c:pt idx="159">
                  <c:v>-1.5665526307080395E-3</c:v>
                </c:pt>
                <c:pt idx="160">
                  <c:v>-3.2113405944154657E-3</c:v>
                </c:pt>
                <c:pt idx="161">
                  <c:v>-5.2690676827204016E-3</c:v>
                </c:pt>
                <c:pt idx="162">
                  <c:v>-5.6020591895136647E-3</c:v>
                </c:pt>
                <c:pt idx="163">
                  <c:v>-3.0663222695002834E-3</c:v>
                </c:pt>
                <c:pt idx="164">
                  <c:v>-5.1353977401604935E-3</c:v>
                </c:pt>
                <c:pt idx="165">
                  <c:v>-6.7840093995364592E-3</c:v>
                </c:pt>
                <c:pt idx="166">
                  <c:v>-8.5409323174887759E-3</c:v>
                </c:pt>
                <c:pt idx="167">
                  <c:v>-9.6386671014495745E-3</c:v>
                </c:pt>
                <c:pt idx="168">
                  <c:v>-5.1757153942174764E-3</c:v>
                </c:pt>
                <c:pt idx="169">
                  <c:v>-4.4610422280523324E-3</c:v>
                </c:pt>
                <c:pt idx="170">
                  <c:v>-4.4664982294041443E-3</c:v>
                </c:pt>
                <c:pt idx="171">
                  <c:v>-4.9133420576980757E-3</c:v>
                </c:pt>
                <c:pt idx="172">
                  <c:v>-6.2339116272300925E-3</c:v>
                </c:pt>
                <c:pt idx="173">
                  <c:v>-9.4790309386066796E-3</c:v>
                </c:pt>
                <c:pt idx="174">
                  <c:v>-7.1275990460477143E-3</c:v>
                </c:pt>
                <c:pt idx="175">
                  <c:v>-6.6755213113373294E-3</c:v>
                </c:pt>
                <c:pt idx="176">
                  <c:v>-6.798704324481708E-3</c:v>
                </c:pt>
                <c:pt idx="177">
                  <c:v>-7.3455285071480601E-3</c:v>
                </c:pt>
                <c:pt idx="178">
                  <c:v>-8.5253944655198297E-3</c:v>
                </c:pt>
                <c:pt idx="179">
                  <c:v>-5.7308511043430268E-3</c:v>
                </c:pt>
                <c:pt idx="180">
                  <c:v>-6.0982259078736136E-3</c:v>
                </c:pt>
                <c:pt idx="181">
                  <c:v>-1.7951333535513392E-3</c:v>
                </c:pt>
                <c:pt idx="182">
                  <c:v>-1.1948465333401341E-3</c:v>
                </c:pt>
                <c:pt idx="183">
                  <c:v>-6.1253261205240577E-4</c:v>
                </c:pt>
                <c:pt idx="184">
                  <c:v>-4.4028408227862021E-4</c:v>
                </c:pt>
                <c:pt idx="185">
                  <c:v>3.4912939847848599E-4</c:v>
                </c:pt>
                <c:pt idx="186">
                  <c:v>-9.3912943154015824E-4</c:v>
                </c:pt>
                <c:pt idx="187">
                  <c:v>1.9679142384035819E-3</c:v>
                </c:pt>
                <c:pt idx="188">
                  <c:v>1.6730897967316785E-3</c:v>
                </c:pt>
                <c:pt idx="189">
                  <c:v>4.8254044920056308E-3</c:v>
                </c:pt>
                <c:pt idx="190">
                  <c:v>5.1704005720588321E-3</c:v>
                </c:pt>
                <c:pt idx="191">
                  <c:v>6.6404930106467039E-3</c:v>
                </c:pt>
                <c:pt idx="192">
                  <c:v>7.4066603570474478E-3</c:v>
                </c:pt>
                <c:pt idx="193">
                  <c:v>4.4728664647174206E-3</c:v>
                </c:pt>
                <c:pt idx="194">
                  <c:v>5.5137345607472743E-3</c:v>
                </c:pt>
                <c:pt idx="195">
                  <c:v>6.0564080507662151E-3</c:v>
                </c:pt>
                <c:pt idx="196">
                  <c:v>5.5133533080777928E-3</c:v>
                </c:pt>
                <c:pt idx="197">
                  <c:v>4.4154166641598045E-3</c:v>
                </c:pt>
                <c:pt idx="198">
                  <c:v>7.3198984336526355E-3</c:v>
                </c:pt>
                <c:pt idx="199">
                  <c:v>5.4252144692958828E-3</c:v>
                </c:pt>
                <c:pt idx="200">
                  <c:v>3.3692924327745695E-3</c:v>
                </c:pt>
                <c:pt idx="201">
                  <c:v>4.5353864897807903E-3</c:v>
                </c:pt>
                <c:pt idx="202">
                  <c:v>3.2007727766711707E-3</c:v>
                </c:pt>
                <c:pt idx="203">
                  <c:v>3.7050059756843223E-3</c:v>
                </c:pt>
                <c:pt idx="204">
                  <c:v>4.4819801523449275E-3</c:v>
                </c:pt>
                <c:pt idx="205">
                  <c:v>4.1246050312396323E-3</c:v>
                </c:pt>
                <c:pt idx="206">
                  <c:v>3.5479300560493417E-3</c:v>
                </c:pt>
                <c:pt idx="207">
                  <c:v>3.2093237281924504E-3</c:v>
                </c:pt>
                <c:pt idx="208">
                  <c:v>2.7814941031874146E-3</c:v>
                </c:pt>
                <c:pt idx="209">
                  <c:v>2.7062341135567669E-3</c:v>
                </c:pt>
                <c:pt idx="210">
                  <c:v>3.5610690127692683E-3</c:v>
                </c:pt>
                <c:pt idx="211">
                  <c:v>4.8437931033405591E-3</c:v>
                </c:pt>
                <c:pt idx="212">
                  <c:v>1.2601339268154376E-3</c:v>
                </c:pt>
                <c:pt idx="213">
                  <c:v>-1.3592680301203136E-3</c:v>
                </c:pt>
                <c:pt idx="214">
                  <c:v>-3.7247012493752986E-3</c:v>
                </c:pt>
                <c:pt idx="215">
                  <c:v>-3.9774067947606177E-3</c:v>
                </c:pt>
                <c:pt idx="216">
                  <c:v>-4.7071270153040785E-3</c:v>
                </c:pt>
                <c:pt idx="217">
                  <c:v>-4.4550418996447284E-3</c:v>
                </c:pt>
                <c:pt idx="218">
                  <c:v>-4.6621114163579135E-3</c:v>
                </c:pt>
                <c:pt idx="219">
                  <c:v>-6.8291335538829111E-3</c:v>
                </c:pt>
                <c:pt idx="220">
                  <c:v>-5.9288975825712957E-3</c:v>
                </c:pt>
                <c:pt idx="221">
                  <c:v>-5.386970896463044E-3</c:v>
                </c:pt>
                <c:pt idx="222">
                  <c:v>-5.622432175588451E-3</c:v>
                </c:pt>
                <c:pt idx="223">
                  <c:v>-5.4959947760977205E-3</c:v>
                </c:pt>
                <c:pt idx="224">
                  <c:v>-5.8845496604048256E-3</c:v>
                </c:pt>
                <c:pt idx="225">
                  <c:v>-5.7580618208394486E-3</c:v>
                </c:pt>
                <c:pt idx="226">
                  <c:v>-5.6414477430011848E-3</c:v>
                </c:pt>
                <c:pt idx="227">
                  <c:v>-6.6535970578710012E-3</c:v>
                </c:pt>
                <c:pt idx="228">
                  <c:v>-5.9488286103639024E-3</c:v>
                </c:pt>
                <c:pt idx="229">
                  <c:v>-6.4201661519773549E-3</c:v>
                </c:pt>
                <c:pt idx="230">
                  <c:v>-5.0057550126756953E-3</c:v>
                </c:pt>
                <c:pt idx="231">
                  <c:v>-4.9656042086025668E-3</c:v>
                </c:pt>
                <c:pt idx="232">
                  <c:v>-4.4409635971932523E-3</c:v>
                </c:pt>
                <c:pt idx="233">
                  <c:v>-4.1730458518309064E-3</c:v>
                </c:pt>
                <c:pt idx="234">
                  <c:v>-3.7732873846539365E-3</c:v>
                </c:pt>
                <c:pt idx="235">
                  <c:v>-2.2903451721311462E-3</c:v>
                </c:pt>
                <c:pt idx="236">
                  <c:v>-1.958433087828075E-3</c:v>
                </c:pt>
                <c:pt idx="237">
                  <c:v>-6.726814380172291E-4</c:v>
                </c:pt>
                <c:pt idx="238">
                  <c:v>1.919044160648611E-4</c:v>
                </c:pt>
                <c:pt idx="239">
                  <c:v>9.7471872782831646E-5</c:v>
                </c:pt>
                <c:pt idx="240">
                  <c:v>1.5054887701840636E-3</c:v>
                </c:pt>
                <c:pt idx="241">
                  <c:v>3.0980097498258712E-3</c:v>
                </c:pt>
                <c:pt idx="242">
                  <c:v>3.3372966971664153E-3</c:v>
                </c:pt>
                <c:pt idx="243">
                  <c:v>2.0580543867536175E-3</c:v>
                </c:pt>
                <c:pt idx="244">
                  <c:v>3.8350461168326442E-3</c:v>
                </c:pt>
                <c:pt idx="245">
                  <c:v>3.0741978387465339E-3</c:v>
                </c:pt>
                <c:pt idx="246">
                  <c:v>2.707525201618685E-3</c:v>
                </c:pt>
                <c:pt idx="247">
                  <c:v>2.5363686216167748E-3</c:v>
                </c:pt>
                <c:pt idx="248">
                  <c:v>3.177849075694229E-3</c:v>
                </c:pt>
                <c:pt idx="249">
                  <c:v>2.9313065046326736E-3</c:v>
                </c:pt>
                <c:pt idx="250">
                  <c:v>3.0493348586414031E-3</c:v>
                </c:pt>
                <c:pt idx="251">
                  <c:v>1.9988447493031474E-3</c:v>
                </c:pt>
                <c:pt idx="252">
                  <c:v>3.9723905651068772E-3</c:v>
                </c:pt>
                <c:pt idx="253">
                  <c:v>4.9417496553431405E-3</c:v>
                </c:pt>
                <c:pt idx="254">
                  <c:v>4.6202715147479088E-3</c:v>
                </c:pt>
                <c:pt idx="255">
                  <c:v>3.7134252833693642E-3</c:v>
                </c:pt>
                <c:pt idx="256">
                  <c:v>4.7448338587774853E-3</c:v>
                </c:pt>
                <c:pt idx="257">
                  <c:v>3.5983411818781576E-3</c:v>
                </c:pt>
                <c:pt idx="258">
                  <c:v>2.0040843606958887E-3</c:v>
                </c:pt>
                <c:pt idx="259">
                  <c:v>1.0311412531230513E-3</c:v>
                </c:pt>
                <c:pt idx="260">
                  <c:v>4.0682372817507645E-4</c:v>
                </c:pt>
                <c:pt idx="261">
                  <c:v>1.9070357933891351E-4</c:v>
                </c:pt>
                <c:pt idx="262">
                  <c:v>-2.2017174390384633E-3</c:v>
                </c:pt>
                <c:pt idx="263">
                  <c:v>-1.7487119052912233E-3</c:v>
                </c:pt>
                <c:pt idx="264">
                  <c:v>-1.2860458552850574E-3</c:v>
                </c:pt>
                <c:pt idx="265">
                  <c:v>-1.9408841434454065E-3</c:v>
                </c:pt>
                <c:pt idx="266">
                  <c:v>-3.5790282047121237E-3</c:v>
                </c:pt>
                <c:pt idx="267">
                  <c:v>-4.4318443067881234E-3</c:v>
                </c:pt>
                <c:pt idx="268">
                  <c:v>-2.8886224799070125E-3</c:v>
                </c:pt>
                <c:pt idx="269">
                  <c:v>-5.032740381435784E-3</c:v>
                </c:pt>
                <c:pt idx="270">
                  <c:v>-6.0189357572046041E-3</c:v>
                </c:pt>
                <c:pt idx="271">
                  <c:v>-6.4480726899543341E-3</c:v>
                </c:pt>
                <c:pt idx="272">
                  <c:v>-6.0109609195947459E-3</c:v>
                </c:pt>
                <c:pt idx="273">
                  <c:v>-7.0264483468567198E-3</c:v>
                </c:pt>
                <c:pt idx="274">
                  <c:v>-7.3931668201095814E-3</c:v>
                </c:pt>
                <c:pt idx="275">
                  <c:v>-8.0645903891453322E-3</c:v>
                </c:pt>
                <c:pt idx="276">
                  <c:v>-7.6822436966536211E-3</c:v>
                </c:pt>
                <c:pt idx="277">
                  <c:v>-5.8035290690906273E-3</c:v>
                </c:pt>
                <c:pt idx="278">
                  <c:v>-4.6343128871049813E-3</c:v>
                </c:pt>
                <c:pt idx="279">
                  <c:v>-4.2862124493539691E-3</c:v>
                </c:pt>
                <c:pt idx="280">
                  <c:v>-3.6218171949074164E-3</c:v>
                </c:pt>
                <c:pt idx="281">
                  <c:v>-4.8104829790446089E-3</c:v>
                </c:pt>
                <c:pt idx="282">
                  <c:v>-5.0010823245847493E-3</c:v>
                </c:pt>
                <c:pt idx="283">
                  <c:v>-3.4587901275308784E-3</c:v>
                </c:pt>
                <c:pt idx="284">
                  <c:v>-7.8611751605573658E-4</c:v>
                </c:pt>
                <c:pt idx="285">
                  <c:v>-1.5288485128078977E-3</c:v>
                </c:pt>
                <c:pt idx="286">
                  <c:v>-1.7251382942367532E-3</c:v>
                </c:pt>
                <c:pt idx="287">
                  <c:v>4.6257743212738535E-4</c:v>
                </c:pt>
                <c:pt idx="288">
                  <c:v>1.0729793950560581E-3</c:v>
                </c:pt>
                <c:pt idx="289">
                  <c:v>-1.2568735374422213E-5</c:v>
                </c:pt>
                <c:pt idx="290">
                  <c:v>-9.3645529737291827E-4</c:v>
                </c:pt>
                <c:pt idx="291">
                  <c:v>1.0174886249512696E-4</c:v>
                </c:pt>
                <c:pt idx="292">
                  <c:v>3.8974001090118519E-4</c:v>
                </c:pt>
                <c:pt idx="293">
                  <c:v>1.9320597859177459E-4</c:v>
                </c:pt>
                <c:pt idx="294">
                  <c:v>2.8793152318456416E-3</c:v>
                </c:pt>
                <c:pt idx="295">
                  <c:v>4.0124728479138862E-3</c:v>
                </c:pt>
                <c:pt idx="296">
                  <c:v>4.7866843246419186E-3</c:v>
                </c:pt>
                <c:pt idx="297">
                  <c:v>4.5562551527597635E-3</c:v>
                </c:pt>
                <c:pt idx="298">
                  <c:v>5.6423952522810048E-3</c:v>
                </c:pt>
                <c:pt idx="299">
                  <c:v>5.6627721274495162E-3</c:v>
                </c:pt>
                <c:pt idx="300">
                  <c:v>7.4286858318037205E-3</c:v>
                </c:pt>
                <c:pt idx="301">
                  <c:v>6.939648111681667E-3</c:v>
                </c:pt>
                <c:pt idx="302">
                  <c:v>4.9297079120514406E-3</c:v>
                </c:pt>
                <c:pt idx="303">
                  <c:v>3.3815757536074065E-3</c:v>
                </c:pt>
                <c:pt idx="304">
                  <c:v>4.2503326442871478E-3</c:v>
                </c:pt>
                <c:pt idx="305">
                  <c:v>3.3342185922578542E-3</c:v>
                </c:pt>
                <c:pt idx="306">
                  <c:v>4.259073748460164E-3</c:v>
                </c:pt>
                <c:pt idx="307">
                  <c:v>3.3579941838015404E-3</c:v>
                </c:pt>
                <c:pt idx="308">
                  <c:v>3.2556530217931917E-3</c:v>
                </c:pt>
                <c:pt idx="309">
                  <c:v>-1.2215605530889739E-5</c:v>
                </c:pt>
                <c:pt idx="310">
                  <c:v>2.7118747941514196E-4</c:v>
                </c:pt>
                <c:pt idx="311">
                  <c:v>1.4147816193944283E-3</c:v>
                </c:pt>
                <c:pt idx="312">
                  <c:v>2.4702924391142678E-3</c:v>
                </c:pt>
                <c:pt idx="313">
                  <c:v>-1.9066060299301267E-3</c:v>
                </c:pt>
                <c:pt idx="314">
                  <c:v>-1.1476719676167806E-3</c:v>
                </c:pt>
                <c:pt idx="315">
                  <c:v>-1.0639615256135336E-3</c:v>
                </c:pt>
                <c:pt idx="316">
                  <c:v>-1.4222571273692613E-3</c:v>
                </c:pt>
                <c:pt idx="317">
                  <c:v>-9.8156405704690614E-4</c:v>
                </c:pt>
                <c:pt idx="318">
                  <c:v>-2.1106115479074205E-3</c:v>
                </c:pt>
                <c:pt idx="319">
                  <c:v>-3.5193288857032841E-3</c:v>
                </c:pt>
                <c:pt idx="320">
                  <c:v>-5.350110551938906E-3</c:v>
                </c:pt>
                <c:pt idx="321">
                  <c:v>-5.7827028200420046E-3</c:v>
                </c:pt>
                <c:pt idx="322">
                  <c:v>-4.5562551527597661E-3</c:v>
                </c:pt>
                <c:pt idx="323">
                  <c:v>-4.5756653689945533E-3</c:v>
                </c:pt>
                <c:pt idx="324">
                  <c:v>-4.6708686630735907E-3</c:v>
                </c:pt>
                <c:pt idx="325">
                  <c:v>-6.6933710077823885E-3</c:v>
                </c:pt>
                <c:pt idx="326">
                  <c:v>-6.349666914639185E-3</c:v>
                </c:pt>
                <c:pt idx="327">
                  <c:v>-9.1718966755435279E-3</c:v>
                </c:pt>
                <c:pt idx="328">
                  <c:v>-1.0361418323326122E-2</c:v>
                </c:pt>
                <c:pt idx="329">
                  <c:v>-1.0658832008822941E-2</c:v>
                </c:pt>
                <c:pt idx="330">
                  <c:v>-9.9736240912283065E-3</c:v>
                </c:pt>
                <c:pt idx="331">
                  <c:v>-1.1107632203528436E-2</c:v>
                </c:pt>
                <c:pt idx="332">
                  <c:v>-9.0596639551744178E-3</c:v>
                </c:pt>
                <c:pt idx="333">
                  <c:v>-9.4715271587276755E-3</c:v>
                </c:pt>
                <c:pt idx="334">
                  <c:v>-1.0406701370799062E-2</c:v>
                </c:pt>
                <c:pt idx="335">
                  <c:v>-1.0536361443822986E-2</c:v>
                </c:pt>
                <c:pt idx="336">
                  <c:v>-1.2732158081695664E-2</c:v>
                </c:pt>
                <c:pt idx="337">
                  <c:v>-1.2313880828394163E-2</c:v>
                </c:pt>
                <c:pt idx="338">
                  <c:v>-7.2571411492719584E-3</c:v>
                </c:pt>
                <c:pt idx="339">
                  <c:v>-6.7327657674680118E-3</c:v>
                </c:pt>
                <c:pt idx="340">
                  <c:v>-5.7756525329171584E-3</c:v>
                </c:pt>
                <c:pt idx="341">
                  <c:v>-5.0135461872333554E-3</c:v>
                </c:pt>
                <c:pt idx="342">
                  <c:v>-3.7329895618488807E-3</c:v>
                </c:pt>
                <c:pt idx="343">
                  <c:v>-2.7036369213090826E-3</c:v>
                </c:pt>
                <c:pt idx="344">
                  <c:v>-1.2548955256807075E-3</c:v>
                </c:pt>
                <c:pt idx="345">
                  <c:v>9.6592620100663168E-4</c:v>
                </c:pt>
                <c:pt idx="346">
                  <c:v>1.9272485024906124E-3</c:v>
                </c:pt>
                <c:pt idx="347">
                  <c:v>1.788468453883908E-3</c:v>
                </c:pt>
                <c:pt idx="348">
                  <c:v>1.1737450802953261E-3</c:v>
                </c:pt>
                <c:pt idx="349">
                  <c:v>-1.4246520054626349E-3</c:v>
                </c:pt>
                <c:pt idx="350">
                  <c:v>1.4172174791800092E-3</c:v>
                </c:pt>
                <c:pt idx="351">
                  <c:v>1.5508044185828279E-3</c:v>
                </c:pt>
                <c:pt idx="352">
                  <c:v>3.2301881942250364E-3</c:v>
                </c:pt>
                <c:pt idx="353">
                  <c:v>3.8800903217449927E-3</c:v>
                </c:pt>
                <c:pt idx="354">
                  <c:v>2.570801410967181E-3</c:v>
                </c:pt>
                <c:pt idx="355">
                  <c:v>1.3504032305517442E-3</c:v>
                </c:pt>
                <c:pt idx="356">
                  <c:v>2.4203979796989725E-3</c:v>
                </c:pt>
                <c:pt idx="357">
                  <c:v>1.1420760771376278E-3</c:v>
                </c:pt>
                <c:pt idx="358">
                  <c:v>7.0718411464643235E-4</c:v>
                </c:pt>
                <c:pt idx="359">
                  <c:v>2.3690121036005567E-3</c:v>
                </c:pt>
                <c:pt idx="360">
                  <c:v>2.4794923171280142E-3</c:v>
                </c:pt>
                <c:pt idx="361">
                  <c:v>1.4717649669288449E-3</c:v>
                </c:pt>
                <c:pt idx="362">
                  <c:v>-9.5503427780075018E-5</c:v>
                </c:pt>
                <c:pt idx="363">
                  <c:v>-7.5692546317190554E-4</c:v>
                </c:pt>
                <c:pt idx="364">
                  <c:v>-7.4162031662971053E-4</c:v>
                </c:pt>
                <c:pt idx="365">
                  <c:v>-3.8160945799063775E-4</c:v>
                </c:pt>
                <c:pt idx="366">
                  <c:v>1.0430253628323019E-4</c:v>
                </c:pt>
                <c:pt idx="367">
                  <c:v>-7.4878310570450021E-4</c:v>
                </c:pt>
                <c:pt idx="368">
                  <c:v>-6.2809397139391954E-4</c:v>
                </c:pt>
                <c:pt idx="369">
                  <c:v>-1.1640843070211788E-3</c:v>
                </c:pt>
                <c:pt idx="370">
                  <c:v>-1.1932802766709146E-3</c:v>
                </c:pt>
                <c:pt idx="371">
                  <c:v>-2.3556710200179024E-3</c:v>
                </c:pt>
                <c:pt idx="372">
                  <c:v>-2.7712488849328297E-3</c:v>
                </c:pt>
                <c:pt idx="373">
                  <c:v>-2.3687030342124677E-3</c:v>
                </c:pt>
                <c:pt idx="374">
                  <c:v>1.2000900121519728E-3</c:v>
                </c:pt>
                <c:pt idx="375">
                  <c:v>-5.3806121042899503E-4</c:v>
                </c:pt>
                <c:pt idx="376">
                  <c:v>-4.390201620403039E-4</c:v>
                </c:pt>
                <c:pt idx="377">
                  <c:v>1.5496616023979932E-3</c:v>
                </c:pt>
                <c:pt idx="378">
                  <c:v>3.9038656674251692E-3</c:v>
                </c:pt>
                <c:pt idx="379">
                  <c:v>5.2496092368095604E-3</c:v>
                </c:pt>
                <c:pt idx="380">
                  <c:v>5.4325352881945408E-3</c:v>
                </c:pt>
                <c:pt idx="381">
                  <c:v>3.9522791188954512E-3</c:v>
                </c:pt>
                <c:pt idx="382">
                  <c:v>4.0139189533712942E-3</c:v>
                </c:pt>
                <c:pt idx="383">
                  <c:v>4.9459455860790084E-3</c:v>
                </c:pt>
                <c:pt idx="384">
                  <c:v>5.5163759138969429E-3</c:v>
                </c:pt>
                <c:pt idx="385">
                  <c:v>6.183196417519631E-3</c:v>
                </c:pt>
                <c:pt idx="386">
                  <c:v>8.1075863994751283E-3</c:v>
                </c:pt>
                <c:pt idx="387">
                  <c:v>8.1598912909198081E-3</c:v>
                </c:pt>
                <c:pt idx="388">
                  <c:v>7.1235636306176816E-3</c:v>
                </c:pt>
                <c:pt idx="389">
                  <c:v>6.9010863680666864E-3</c:v>
                </c:pt>
                <c:pt idx="390">
                  <c:v>4.8066406202980612E-3</c:v>
                </c:pt>
                <c:pt idx="391">
                  <c:v>2.4109768178828183E-3</c:v>
                </c:pt>
                <c:pt idx="392">
                  <c:v>2.4014398148045051E-3</c:v>
                </c:pt>
                <c:pt idx="393">
                  <c:v>2.2609737522041248E-3</c:v>
                </c:pt>
                <c:pt idx="394">
                  <c:v>1.5166337424122095E-3</c:v>
                </c:pt>
                <c:pt idx="395">
                  <c:v>1.5512861088339519E-3</c:v>
                </c:pt>
                <c:pt idx="396">
                  <c:v>3.8578616600424415E-4</c:v>
                </c:pt>
                <c:pt idx="397">
                  <c:v>1.2956642604456669E-4</c:v>
                </c:pt>
                <c:pt idx="398">
                  <c:v>7.6327404263939515E-4</c:v>
                </c:pt>
                <c:pt idx="399">
                  <c:v>6.4224765422683642E-4</c:v>
                </c:pt>
                <c:pt idx="400">
                  <c:v>1.2351858611609216E-3</c:v>
                </c:pt>
                <c:pt idx="401">
                  <c:v>1.0539868520238454E-3</c:v>
                </c:pt>
                <c:pt idx="402">
                  <c:v>-8.0223989158503155E-4</c:v>
                </c:pt>
                <c:pt idx="403">
                  <c:v>-3.6457077257953975E-3</c:v>
                </c:pt>
                <c:pt idx="404">
                  <c:v>-5.4257563104589054E-3</c:v>
                </c:pt>
                <c:pt idx="405">
                  <c:v>-4.7373800590987773E-3</c:v>
                </c:pt>
                <c:pt idx="406">
                  <c:v>-4.1140737869966287E-3</c:v>
                </c:pt>
                <c:pt idx="407">
                  <c:v>-3.0913080361314278E-3</c:v>
                </c:pt>
                <c:pt idx="408">
                  <c:v>-4.1047413692208061E-3</c:v>
                </c:pt>
                <c:pt idx="409">
                  <c:v>-5.3375380601062405E-3</c:v>
                </c:pt>
                <c:pt idx="410">
                  <c:v>-5.9733795257971168E-3</c:v>
                </c:pt>
                <c:pt idx="411">
                  <c:v>-4.4238640948100171E-3</c:v>
                </c:pt>
                <c:pt idx="412">
                  <c:v>-4.6820923420172024E-3</c:v>
                </c:pt>
                <c:pt idx="413">
                  <c:v>-3.8750990354769243E-3</c:v>
                </c:pt>
                <c:pt idx="414">
                  <c:v>-3.1383289739164333E-3</c:v>
                </c:pt>
                <c:pt idx="415">
                  <c:v>-2.1083225495433255E-3</c:v>
                </c:pt>
                <c:pt idx="416">
                  <c:v>-1.5441324667913369E-4</c:v>
                </c:pt>
                <c:pt idx="417">
                  <c:v>3.7506786352074187E-4</c:v>
                </c:pt>
                <c:pt idx="418">
                  <c:v>6.075367049065782E-4</c:v>
                </c:pt>
                <c:pt idx="419">
                  <c:v>8.0614264243872682E-4</c:v>
                </c:pt>
                <c:pt idx="420">
                  <c:v>5.1754211941447577E-4</c:v>
                </c:pt>
                <c:pt idx="421">
                  <c:v>2.9750447043077417E-4</c:v>
                </c:pt>
                <c:pt idx="422">
                  <c:v>5.2829609625075534E-4</c:v>
                </c:pt>
                <c:pt idx="423">
                  <c:v>1.5404344466674048E-17</c:v>
                </c:pt>
                <c:pt idx="424">
                  <c:v>1.382649147164488E-4</c:v>
                </c:pt>
                <c:pt idx="425">
                  <c:v>-1.9688874241765588E-3</c:v>
                </c:pt>
                <c:pt idx="426">
                  <c:v>-2.3124526077371193E-3</c:v>
                </c:pt>
                <c:pt idx="427">
                  <c:v>-2.1673462415131386E-3</c:v>
                </c:pt>
                <c:pt idx="428">
                  <c:v>-3.4458217402597859E-4</c:v>
                </c:pt>
                <c:pt idx="429">
                  <c:v>9.5934830915655035E-4</c:v>
                </c:pt>
                <c:pt idx="430">
                  <c:v>-8.807343007765381E-5</c:v>
                </c:pt>
                <c:pt idx="431">
                  <c:v>2.2046721254095829E-4</c:v>
                </c:pt>
                <c:pt idx="432">
                  <c:v>-2.9059335943253795E-4</c:v>
                </c:pt>
                <c:pt idx="433">
                  <c:v>1.3121936316646019E-4</c:v>
                </c:pt>
                <c:pt idx="434">
                  <c:v>1.7884134357588749E-3</c:v>
                </c:pt>
                <c:pt idx="435">
                  <c:v>2.2381427755665548E-3</c:v>
                </c:pt>
                <c:pt idx="436">
                  <c:v>-7.6025680381964394E-4</c:v>
                </c:pt>
                <c:pt idx="437">
                  <c:v>-2.3443290547932072E-4</c:v>
                </c:pt>
                <c:pt idx="438">
                  <c:v>1.231737739919053E-3</c:v>
                </c:pt>
                <c:pt idx="439">
                  <c:v>-9.1892052680103166E-4</c:v>
                </c:pt>
                <c:pt idx="440">
                  <c:v>-2.8058243746704047E-3</c:v>
                </c:pt>
                <c:pt idx="441">
                  <c:v>-2.3757886967291854E-3</c:v>
                </c:pt>
                <c:pt idx="442">
                  <c:v>-3.2086221432736151E-3</c:v>
                </c:pt>
                <c:pt idx="443">
                  <c:v>-2.2114414753951102E-3</c:v>
                </c:pt>
                <c:pt idx="444">
                  <c:v>-3.3418457158795188E-3</c:v>
                </c:pt>
                <c:pt idx="445">
                  <c:v>-3.5346189334943823E-3</c:v>
                </c:pt>
                <c:pt idx="446">
                  <c:v>1.2682765601494783E-4</c:v>
                </c:pt>
                <c:pt idx="447">
                  <c:v>1.2566478493351513E-3</c:v>
                </c:pt>
                <c:pt idx="448">
                  <c:v>-3.798164637395969E-4</c:v>
                </c:pt>
                <c:pt idx="449">
                  <c:v>-8.3685060642560221E-4</c:v>
                </c:pt>
                <c:pt idx="450">
                  <c:v>1.7610227610064244E-3</c:v>
                </c:pt>
                <c:pt idx="451">
                  <c:v>3.6759111244895871E-3</c:v>
                </c:pt>
                <c:pt idx="452">
                  <c:v>4.6588451970168941E-3</c:v>
                </c:pt>
                <c:pt idx="453">
                  <c:v>3.2526990302107223E-3</c:v>
                </c:pt>
                <c:pt idx="454">
                  <c:v>1.8934297160377077E-3</c:v>
                </c:pt>
                <c:pt idx="455">
                  <c:v>2.0201248754681354E-3</c:v>
                </c:pt>
                <c:pt idx="456">
                  <c:v>1.4960391648871113E-3</c:v>
                </c:pt>
                <c:pt idx="457">
                  <c:v>1.5447039190027412E-3</c:v>
                </c:pt>
                <c:pt idx="458">
                  <c:v>4.918687656459245E-4</c:v>
                </c:pt>
                <c:pt idx="459">
                  <c:v>-4.004835180209357E-3</c:v>
                </c:pt>
                <c:pt idx="460">
                  <c:v>-8.0865504338006114E-3</c:v>
                </c:pt>
                <c:pt idx="461">
                  <c:v>-7.7799487776485689E-3</c:v>
                </c:pt>
                <c:pt idx="462">
                  <c:v>-1.1146436857111381E-2</c:v>
                </c:pt>
                <c:pt idx="463">
                  <c:v>-1.6379261136822542E-2</c:v>
                </c:pt>
                <c:pt idx="464">
                  <c:v>-1.5143848643807896E-2</c:v>
                </c:pt>
                <c:pt idx="465">
                  <c:v>-1.5059102849396483E-2</c:v>
                </c:pt>
                <c:pt idx="466">
                  <c:v>-1.4760433888781699E-2</c:v>
                </c:pt>
                <c:pt idx="467">
                  <c:v>-2.0383118518713418E-2</c:v>
                </c:pt>
                <c:pt idx="468">
                  <c:v>-2.1913127430168995E-2</c:v>
                </c:pt>
                <c:pt idx="469">
                  <c:v>-2.3796699555518726E-2</c:v>
                </c:pt>
                <c:pt idx="470">
                  <c:v>-1.8593731147457028E-2</c:v>
                </c:pt>
                <c:pt idx="471">
                  <c:v>-2.2349472861729752E-2</c:v>
                </c:pt>
                <c:pt idx="472">
                  <c:v>-3.0870362725183953E-2</c:v>
                </c:pt>
                <c:pt idx="473">
                  <c:v>-2.7276128443233297E-2</c:v>
                </c:pt>
                <c:pt idx="474">
                  <c:v>-2.3124339652626388E-2</c:v>
                </c:pt>
                <c:pt idx="475">
                  <c:v>-2.4561602567259283E-2</c:v>
                </c:pt>
                <c:pt idx="476">
                  <c:v>-3.7621743812954009E-2</c:v>
                </c:pt>
                <c:pt idx="477">
                  <c:v>-4.3422801726066371E-2</c:v>
                </c:pt>
                <c:pt idx="478">
                  <c:v>-4.2572480516168444E-2</c:v>
                </c:pt>
                <c:pt idx="479">
                  <c:v>-4.1875640147592756E-2</c:v>
                </c:pt>
                <c:pt idx="480">
                  <c:v>-2.8845138568149995E-2</c:v>
                </c:pt>
                <c:pt idx="481">
                  <c:v>-2.4408134639665482E-2</c:v>
                </c:pt>
                <c:pt idx="482">
                  <c:v>-2.3965808494476926E-2</c:v>
                </c:pt>
                <c:pt idx="483">
                  <c:v>-2.7353791515905255E-2</c:v>
                </c:pt>
                <c:pt idx="484">
                  <c:v>-2.9247592240231816E-2</c:v>
                </c:pt>
                <c:pt idx="485">
                  <c:v>-2.5603284012439859E-2</c:v>
                </c:pt>
                <c:pt idx="486">
                  <c:v>-2.9429051336299486E-2</c:v>
                </c:pt>
                <c:pt idx="487">
                  <c:v>-2.8668956444957677E-2</c:v>
                </c:pt>
                <c:pt idx="488">
                  <c:v>-2.8296872334101525E-2</c:v>
                </c:pt>
                <c:pt idx="489">
                  <c:v>-2.7430059143952638E-2</c:v>
                </c:pt>
                <c:pt idx="490">
                  <c:v>-2.2306276938003577E-2</c:v>
                </c:pt>
                <c:pt idx="491">
                  <c:v>-1.9677478610294129E-2</c:v>
                </c:pt>
                <c:pt idx="492">
                  <c:v>-9.9422911183819386E-3</c:v>
                </c:pt>
                <c:pt idx="493">
                  <c:v>-1.2926443959307579E-2</c:v>
                </c:pt>
                <c:pt idx="494">
                  <c:v>-8.4204721763323602E-3</c:v>
                </c:pt>
                <c:pt idx="495">
                  <c:v>-1.2977096819130904E-2</c:v>
                </c:pt>
                <c:pt idx="496">
                  <c:v>-1.5378774295964761E-2</c:v>
                </c:pt>
                <c:pt idx="497">
                  <c:v>-6.0225425936905053E-3</c:v>
                </c:pt>
                <c:pt idx="498">
                  <c:v>-1.0304943898966823E-2</c:v>
                </c:pt>
                <c:pt idx="499">
                  <c:v>-1.4787236304714646E-2</c:v>
                </c:pt>
                <c:pt idx="500">
                  <c:v>-1.6670440660085405E-2</c:v>
                </c:pt>
                <c:pt idx="501">
                  <c:v>-5.1211389770916904E-3</c:v>
                </c:pt>
                <c:pt idx="502">
                  <c:v>7.7669927316423198E-5</c:v>
                </c:pt>
                <c:pt idx="503">
                  <c:v>-1.4119112832409516E-3</c:v>
                </c:pt>
                <c:pt idx="504">
                  <c:v>3.7591566850850898E-3</c:v>
                </c:pt>
                <c:pt idx="505">
                  <c:v>-3.890068741754953E-3</c:v>
                </c:pt>
                <c:pt idx="506">
                  <c:v>-9.9191324703558365E-3</c:v>
                </c:pt>
                <c:pt idx="507">
                  <c:v>-1.545956826596636E-2</c:v>
                </c:pt>
                <c:pt idx="508">
                  <c:v>-1.4299571049251624E-2</c:v>
                </c:pt>
                <c:pt idx="509">
                  <c:v>-1.0127282417337489E-2</c:v>
                </c:pt>
                <c:pt idx="510">
                  <c:v>-1.1039695678753856E-2</c:v>
                </c:pt>
                <c:pt idx="511">
                  <c:v>-4.5526095830703576E-3</c:v>
                </c:pt>
                <c:pt idx="512">
                  <c:v>3.1683333965775356E-4</c:v>
                </c:pt>
                <c:pt idx="513">
                  <c:v>2.9156052250816807E-3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5-41C9-87FB-B485B2AB2411}"/>
            </c:ext>
          </c:extLst>
        </c:ser>
        <c:ser>
          <c:idx val="1"/>
          <c:order val="1"/>
          <c:tx>
            <c:v>Log Return (EWMA25)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Sheet1!$H$27:$H$540</c:f>
              <c:numCache>
                <c:formatCode>0.000%</c:formatCode>
                <c:ptCount val="514"/>
                <c:pt idx="0">
                  <c:v>-8.4238143538776528E-3</c:v>
                </c:pt>
                <c:pt idx="1">
                  <c:v>1.2669941091124504E-3</c:v>
                </c:pt>
                <c:pt idx="2">
                  <c:v>-2.387157971831178E-3</c:v>
                </c:pt>
                <c:pt idx="3">
                  <c:v>1.3197571278978745E-3</c:v>
                </c:pt>
                <c:pt idx="4">
                  <c:v>-6.9005158882802283E-3</c:v>
                </c:pt>
                <c:pt idx="5">
                  <c:v>-5.7773086119302826E-3</c:v>
                </c:pt>
                <c:pt idx="6">
                  <c:v>1.2350367082212474E-3</c:v>
                </c:pt>
                <c:pt idx="7">
                  <c:v>-1.3659678505005537E-3</c:v>
                </c:pt>
                <c:pt idx="8">
                  <c:v>2.9898318050035275E-3</c:v>
                </c:pt>
                <c:pt idx="9">
                  <c:v>-8.5720057255697767E-3</c:v>
                </c:pt>
                <c:pt idx="10">
                  <c:v>-2.1113927166467894E-3</c:v>
                </c:pt>
                <c:pt idx="11">
                  <c:v>2.5051856028503721E-3</c:v>
                </c:pt>
                <c:pt idx="12">
                  <c:v>7.4474114987650351E-4</c:v>
                </c:pt>
                <c:pt idx="13">
                  <c:v>5.6741172362166055E-3</c:v>
                </c:pt>
                <c:pt idx="14">
                  <c:v>9.9432769626661161E-3</c:v>
                </c:pt>
                <c:pt idx="15">
                  <c:v>4.0245761319532714E-3</c:v>
                </c:pt>
                <c:pt idx="16">
                  <c:v>1.0560147188877686E-3</c:v>
                </c:pt>
                <c:pt idx="17">
                  <c:v>6.8932722531523461E-3</c:v>
                </c:pt>
                <c:pt idx="18">
                  <c:v>-4.810985051607433E-3</c:v>
                </c:pt>
                <c:pt idx="19">
                  <c:v>-3.9400722520920028E-3</c:v>
                </c:pt>
                <c:pt idx="20">
                  <c:v>2.5656428931292614E-3</c:v>
                </c:pt>
                <c:pt idx="21">
                  <c:v>1.0942154928539964E-2</c:v>
                </c:pt>
                <c:pt idx="22">
                  <c:v>-1.2757012506756241E-3</c:v>
                </c:pt>
                <c:pt idx="23">
                  <c:v>-2.9388541833996191E-3</c:v>
                </c:pt>
                <c:pt idx="24">
                  <c:v>-3.6307577928435778E-4</c:v>
                </c:pt>
                <c:pt idx="25">
                  <c:v>2.8967686731654211E-3</c:v>
                </c:pt>
                <c:pt idx="26">
                  <c:v>7.8223537234978092E-3</c:v>
                </c:pt>
                <c:pt idx="27">
                  <c:v>8.6282006566292847E-4</c:v>
                </c:pt>
                <c:pt idx="28">
                  <c:v>6.7334622802828301E-4</c:v>
                </c:pt>
                <c:pt idx="29">
                  <c:v>-1.8963579527167319E-3</c:v>
                </c:pt>
                <c:pt idx="30">
                  <c:v>-6.3328539553418189E-3</c:v>
                </c:pt>
                <c:pt idx="31">
                  <c:v>2.7319412422928567E-3</c:v>
                </c:pt>
                <c:pt idx="32">
                  <c:v>-3.198020216000904E-3</c:v>
                </c:pt>
                <c:pt idx="33">
                  <c:v>-5.6469348348295173E-3</c:v>
                </c:pt>
                <c:pt idx="34">
                  <c:v>-2.812439611227284E-3</c:v>
                </c:pt>
                <c:pt idx="35">
                  <c:v>-4.1822129500435684E-3</c:v>
                </c:pt>
                <c:pt idx="36">
                  <c:v>-5.2297186359967149E-3</c:v>
                </c:pt>
                <c:pt idx="37">
                  <c:v>-1.0305835579696925E-2</c:v>
                </c:pt>
                <c:pt idx="38">
                  <c:v>-3.4718326382351681E-3</c:v>
                </c:pt>
                <c:pt idx="39">
                  <c:v>-6.3202456047460418E-3</c:v>
                </c:pt>
                <c:pt idx="40">
                  <c:v>-5.4601867664519129E-3</c:v>
                </c:pt>
                <c:pt idx="41">
                  <c:v>-1.6155225375911315E-2</c:v>
                </c:pt>
                <c:pt idx="42">
                  <c:v>-1.5822361586443165E-2</c:v>
                </c:pt>
                <c:pt idx="43">
                  <c:v>-1.7495129325173678E-2</c:v>
                </c:pt>
                <c:pt idx="44">
                  <c:v>-1.2727616819883419E-2</c:v>
                </c:pt>
                <c:pt idx="45">
                  <c:v>-1.0760444286933816E-2</c:v>
                </c:pt>
                <c:pt idx="46">
                  <c:v>-4.4001717215018422E-3</c:v>
                </c:pt>
                <c:pt idx="47">
                  <c:v>-7.9124394498311448E-3</c:v>
                </c:pt>
                <c:pt idx="48">
                  <c:v>-3.5964294520514752E-3</c:v>
                </c:pt>
                <c:pt idx="49">
                  <c:v>-1.792376052312466E-3</c:v>
                </c:pt>
                <c:pt idx="50">
                  <c:v>8.2498275574158283E-3</c:v>
                </c:pt>
                <c:pt idx="51">
                  <c:v>4.2899211977003061E-3</c:v>
                </c:pt>
                <c:pt idx="52">
                  <c:v>-2.2239860027155268E-2</c:v>
                </c:pt>
                <c:pt idx="53">
                  <c:v>-1.2515303606512953E-2</c:v>
                </c:pt>
                <c:pt idx="54">
                  <c:v>-2.333981848337054E-3</c:v>
                </c:pt>
                <c:pt idx="55">
                  <c:v>-3.1546602926216857E-4</c:v>
                </c:pt>
                <c:pt idx="56">
                  <c:v>6.0019235434421829E-4</c:v>
                </c:pt>
                <c:pt idx="57">
                  <c:v>8.2695372407249387E-3</c:v>
                </c:pt>
                <c:pt idx="58">
                  <c:v>3.8655925602317075E-3</c:v>
                </c:pt>
                <c:pt idx="59">
                  <c:v>7.7042420771557935E-4</c:v>
                </c:pt>
                <c:pt idx="60">
                  <c:v>1.7504411014922544E-3</c:v>
                </c:pt>
                <c:pt idx="61">
                  <c:v>-3.4032848708754134E-3</c:v>
                </c:pt>
                <c:pt idx="62">
                  <c:v>3.4525684751445752E-3</c:v>
                </c:pt>
                <c:pt idx="63">
                  <c:v>1.644940162769817E-2</c:v>
                </c:pt>
                <c:pt idx="64">
                  <c:v>9.0536598801636559E-3</c:v>
                </c:pt>
                <c:pt idx="65">
                  <c:v>8.0421892369950641E-4</c:v>
                </c:pt>
                <c:pt idx="66">
                  <c:v>4.935753205628602E-3</c:v>
                </c:pt>
                <c:pt idx="67">
                  <c:v>-7.357664888833112E-3</c:v>
                </c:pt>
                <c:pt idx="68">
                  <c:v>-6.7619728434342666E-3</c:v>
                </c:pt>
                <c:pt idx="69">
                  <c:v>-8.7996970242712599E-4</c:v>
                </c:pt>
                <c:pt idx="70">
                  <c:v>2.1471647340716091E-5</c:v>
                </c:pt>
                <c:pt idx="71">
                  <c:v>-1.1013985675315963E-3</c:v>
                </c:pt>
                <c:pt idx="72">
                  <c:v>1.8621405086972041E-4</c:v>
                </c:pt>
                <c:pt idx="73">
                  <c:v>-3.555593968016784E-3</c:v>
                </c:pt>
                <c:pt idx="74">
                  <c:v>-7.6937088367841399E-3</c:v>
                </c:pt>
                <c:pt idx="75">
                  <c:v>-9.2662062324852836E-3</c:v>
                </c:pt>
                <c:pt idx="76">
                  <c:v>-4.0035715715818002E-3</c:v>
                </c:pt>
                <c:pt idx="77">
                  <c:v>-1.3308556821819192E-5</c:v>
                </c:pt>
                <c:pt idx="78">
                  <c:v>5.7328730630993984E-3</c:v>
                </c:pt>
                <c:pt idx="79">
                  <c:v>1.1152156056508625E-3</c:v>
                </c:pt>
                <c:pt idx="80">
                  <c:v>1.7761866742030997E-2</c:v>
                </c:pt>
                <c:pt idx="81">
                  <c:v>1.4945055503222351E-2</c:v>
                </c:pt>
                <c:pt idx="82">
                  <c:v>1.8499788481198681E-3</c:v>
                </c:pt>
                <c:pt idx="83">
                  <c:v>-1.447622388775546E-3</c:v>
                </c:pt>
                <c:pt idx="84">
                  <c:v>-1.0920654980769286E-3</c:v>
                </c:pt>
                <c:pt idx="85">
                  <c:v>4.5426644559012968E-3</c:v>
                </c:pt>
                <c:pt idx="86">
                  <c:v>1.1946846497318144E-2</c:v>
                </c:pt>
                <c:pt idx="87">
                  <c:v>7.0073685556859997E-3</c:v>
                </c:pt>
                <c:pt idx="88">
                  <c:v>4.1494900831350245E-3</c:v>
                </c:pt>
                <c:pt idx="89">
                  <c:v>3.5093295818896691E-3</c:v>
                </c:pt>
                <c:pt idx="90">
                  <c:v>4.5633866201135916E-3</c:v>
                </c:pt>
                <c:pt idx="91">
                  <c:v>-5.0149077399542731E-3</c:v>
                </c:pt>
                <c:pt idx="92">
                  <c:v>-1.2664881521487323E-2</c:v>
                </c:pt>
                <c:pt idx="93">
                  <c:v>-9.2629260671513707E-3</c:v>
                </c:pt>
                <c:pt idx="94">
                  <c:v>1.290238382635151E-3</c:v>
                </c:pt>
                <c:pt idx="95">
                  <c:v>6.5093712239845045E-3</c:v>
                </c:pt>
                <c:pt idx="96">
                  <c:v>-2.3703769186517228E-3</c:v>
                </c:pt>
                <c:pt idx="97">
                  <c:v>-2.8614040821119645E-5</c:v>
                </c:pt>
                <c:pt idx="98">
                  <c:v>1.9866666166641627E-3</c:v>
                </c:pt>
                <c:pt idx="99">
                  <c:v>5.7435494119708859E-3</c:v>
                </c:pt>
                <c:pt idx="100">
                  <c:v>7.4878598705244211E-3</c:v>
                </c:pt>
                <c:pt idx="101">
                  <c:v>1.1177881607467703E-2</c:v>
                </c:pt>
                <c:pt idx="102">
                  <c:v>9.8748057987181996E-3</c:v>
                </c:pt>
                <c:pt idx="103">
                  <c:v>1.8928272914784237E-2</c:v>
                </c:pt>
                <c:pt idx="104">
                  <c:v>1.8899388183755712E-3</c:v>
                </c:pt>
                <c:pt idx="105">
                  <c:v>-7.1699176794708915E-3</c:v>
                </c:pt>
                <c:pt idx="106">
                  <c:v>-3.301024074831572E-3</c:v>
                </c:pt>
                <c:pt idx="107">
                  <c:v>1.022239290605772E-3</c:v>
                </c:pt>
                <c:pt idx="108">
                  <c:v>-5.3920120979396389E-4</c:v>
                </c:pt>
                <c:pt idx="109">
                  <c:v>-1.3145325172494577E-2</c:v>
                </c:pt>
                <c:pt idx="110">
                  <c:v>-1.7734592457976657E-2</c:v>
                </c:pt>
                <c:pt idx="111">
                  <c:v>-1.0041410365643356E-2</c:v>
                </c:pt>
                <c:pt idx="112">
                  <c:v>-1.3962487525340354E-2</c:v>
                </c:pt>
                <c:pt idx="113">
                  <c:v>-2.1698018883703582E-2</c:v>
                </c:pt>
                <c:pt idx="114">
                  <c:v>-1.9668200604242646E-2</c:v>
                </c:pt>
                <c:pt idx="115">
                  <c:v>-3.4021909212431818E-2</c:v>
                </c:pt>
                <c:pt idx="116">
                  <c:v>-4.1740918040666312E-2</c:v>
                </c:pt>
                <c:pt idx="117">
                  <c:v>-3.2427229363490795E-2</c:v>
                </c:pt>
                <c:pt idx="118">
                  <c:v>-2.6238924633790104E-2</c:v>
                </c:pt>
                <c:pt idx="119">
                  <c:v>-9.9791845678864292E-3</c:v>
                </c:pt>
                <c:pt idx="120">
                  <c:v>6.8306378792615963E-3</c:v>
                </c:pt>
                <c:pt idx="121">
                  <c:v>7.3424376776356709E-3</c:v>
                </c:pt>
                <c:pt idx="122">
                  <c:v>-8.6515417614637571E-3</c:v>
                </c:pt>
                <c:pt idx="123">
                  <c:v>-6.2468582537624018E-3</c:v>
                </c:pt>
                <c:pt idx="124">
                  <c:v>-3.2299422526333864E-3</c:v>
                </c:pt>
                <c:pt idx="125">
                  <c:v>-1.7696003757442956E-4</c:v>
                </c:pt>
                <c:pt idx="126">
                  <c:v>-1.9623912182114189E-2</c:v>
                </c:pt>
                <c:pt idx="127">
                  <c:v>5.6688877801885969E-3</c:v>
                </c:pt>
                <c:pt idx="128">
                  <c:v>4.8168783062753047E-3</c:v>
                </c:pt>
                <c:pt idx="129">
                  <c:v>4.5934296582499437E-3</c:v>
                </c:pt>
                <c:pt idx="130">
                  <c:v>2.1584774278078193E-2</c:v>
                </c:pt>
                <c:pt idx="131">
                  <c:v>1.8791445494053212E-2</c:v>
                </c:pt>
                <c:pt idx="132">
                  <c:v>2.393668989132822E-2</c:v>
                </c:pt>
                <c:pt idx="133">
                  <c:v>1.641926573140054E-2</c:v>
                </c:pt>
                <c:pt idx="134">
                  <c:v>7.2561274308910514E-3</c:v>
                </c:pt>
                <c:pt idx="135">
                  <c:v>4.3470101879744885E-4</c:v>
                </c:pt>
                <c:pt idx="136">
                  <c:v>1.5267245345975202E-2</c:v>
                </c:pt>
                <c:pt idx="137">
                  <c:v>9.7786058036330725E-3</c:v>
                </c:pt>
                <c:pt idx="138">
                  <c:v>1.5883188548824036E-3</c:v>
                </c:pt>
                <c:pt idx="139">
                  <c:v>6.3685284060784296E-3</c:v>
                </c:pt>
                <c:pt idx="140">
                  <c:v>1.189197858380096E-2</c:v>
                </c:pt>
                <c:pt idx="141">
                  <c:v>1.0895370213580849E-2</c:v>
                </c:pt>
                <c:pt idx="142">
                  <c:v>5.3783546208284443E-3</c:v>
                </c:pt>
                <c:pt idx="143">
                  <c:v>-4.820013340449519E-3</c:v>
                </c:pt>
                <c:pt idx="144">
                  <c:v>-1.1103364350033359E-2</c:v>
                </c:pt>
                <c:pt idx="145">
                  <c:v>-9.736215765194893E-3</c:v>
                </c:pt>
                <c:pt idx="146">
                  <c:v>-7.9394748235271824E-4</c:v>
                </c:pt>
                <c:pt idx="147">
                  <c:v>1.2746908625405487E-2</c:v>
                </c:pt>
                <c:pt idx="148">
                  <c:v>1.004523178848217E-2</c:v>
                </c:pt>
                <c:pt idx="149">
                  <c:v>8.5482279400400062E-3</c:v>
                </c:pt>
                <c:pt idx="150">
                  <c:v>1.1036510576377247E-2</c:v>
                </c:pt>
                <c:pt idx="151">
                  <c:v>3.7060568435186127E-3</c:v>
                </c:pt>
                <c:pt idx="152">
                  <c:v>1.5864216283510726E-2</c:v>
                </c:pt>
                <c:pt idx="153">
                  <c:v>7.285190093046943E-3</c:v>
                </c:pt>
                <c:pt idx="154">
                  <c:v>-1.8151716906546794E-2</c:v>
                </c:pt>
                <c:pt idx="155">
                  <c:v>-1.0718891227534125E-2</c:v>
                </c:pt>
                <c:pt idx="156">
                  <c:v>-3.6145800457299211E-2</c:v>
                </c:pt>
                <c:pt idx="157">
                  <c:v>-2.2950525820023222E-2</c:v>
                </c:pt>
                <c:pt idx="158">
                  <c:v>-1.373212269023405E-2</c:v>
                </c:pt>
                <c:pt idx="159">
                  <c:v>-7.4747096161736012E-3</c:v>
                </c:pt>
                <c:pt idx="160">
                  <c:v>-2.2212794641953498E-2</c:v>
                </c:pt>
                <c:pt idx="161">
                  <c:v>-1.6018954778837476E-2</c:v>
                </c:pt>
                <c:pt idx="162">
                  <c:v>-1.4619170584685284E-2</c:v>
                </c:pt>
                <c:pt idx="163">
                  <c:v>3.5279022831599186E-3</c:v>
                </c:pt>
                <c:pt idx="164">
                  <c:v>-7.7918292240788771E-3</c:v>
                </c:pt>
                <c:pt idx="165">
                  <c:v>-1.0384859202628906E-2</c:v>
                </c:pt>
                <c:pt idx="166">
                  <c:v>-1.7875338121562421E-2</c:v>
                </c:pt>
                <c:pt idx="167">
                  <c:v>-2.2994152093477833E-2</c:v>
                </c:pt>
                <c:pt idx="168">
                  <c:v>8.7913697637768337E-3</c:v>
                </c:pt>
                <c:pt idx="169">
                  <c:v>3.7846525691636467E-3</c:v>
                </c:pt>
                <c:pt idx="170">
                  <c:v>6.4447606810442678E-4</c:v>
                </c:pt>
                <c:pt idx="171">
                  <c:v>3.1212080887523222E-3</c:v>
                </c:pt>
                <c:pt idx="172">
                  <c:v>5.5832457536888905E-3</c:v>
                </c:pt>
                <c:pt idx="173">
                  <c:v>-1.9307727057043849E-2</c:v>
                </c:pt>
                <c:pt idx="174">
                  <c:v>5.6368959423640282E-3</c:v>
                </c:pt>
                <c:pt idx="175">
                  <c:v>1.238916118833195E-2</c:v>
                </c:pt>
                <c:pt idx="176">
                  <c:v>3.7290396733040514E-3</c:v>
                </c:pt>
                <c:pt idx="177">
                  <c:v>1.1779122894362901E-2</c:v>
                </c:pt>
                <c:pt idx="178">
                  <c:v>-4.423369967144793E-3</c:v>
                </c:pt>
                <c:pt idx="179">
                  <c:v>-5.3886337398549883E-3</c:v>
                </c:pt>
                <c:pt idx="180">
                  <c:v>-4.5400440373292821E-3</c:v>
                </c:pt>
                <c:pt idx="181">
                  <c:v>4.5258673326125428E-4</c:v>
                </c:pt>
                <c:pt idx="182">
                  <c:v>7.1704963649531408E-3</c:v>
                </c:pt>
                <c:pt idx="183">
                  <c:v>1.1719947248907361E-2</c:v>
                </c:pt>
                <c:pt idx="184">
                  <c:v>1.163360331452877E-2</c:v>
                </c:pt>
                <c:pt idx="185">
                  <c:v>-2.9163744847835356E-3</c:v>
                </c:pt>
                <c:pt idx="186">
                  <c:v>-1.217340189395834E-2</c:v>
                </c:pt>
                <c:pt idx="187">
                  <c:v>9.8755439593081629E-3</c:v>
                </c:pt>
                <c:pt idx="188">
                  <c:v>1.8463019151416057E-2</c:v>
                </c:pt>
                <c:pt idx="189">
                  <c:v>2.6305112798255054E-2</c:v>
                </c:pt>
                <c:pt idx="190">
                  <c:v>1.6070470813403858E-2</c:v>
                </c:pt>
                <c:pt idx="191">
                  <c:v>1.1669086179069558E-2</c:v>
                </c:pt>
                <c:pt idx="192">
                  <c:v>3.4332000149701241E-3</c:v>
                </c:pt>
                <c:pt idx="193">
                  <c:v>5.2870620472152095E-3</c:v>
                </c:pt>
                <c:pt idx="194">
                  <c:v>9.1381478877944032E-3</c:v>
                </c:pt>
                <c:pt idx="195">
                  <c:v>8.461973966288016E-3</c:v>
                </c:pt>
                <c:pt idx="196">
                  <c:v>4.5205460473176683E-3</c:v>
                </c:pt>
                <c:pt idx="197">
                  <c:v>-1.6717425047002832E-3</c:v>
                </c:pt>
                <c:pt idx="198">
                  <c:v>-2.6026055667200364E-3</c:v>
                </c:pt>
                <c:pt idx="199">
                  <c:v>3.1203512529150565E-3</c:v>
                </c:pt>
                <c:pt idx="200">
                  <c:v>-4.7918353681921932E-3</c:v>
                </c:pt>
                <c:pt idx="201">
                  <c:v>4.4804751128382303E-4</c:v>
                </c:pt>
                <c:pt idx="202">
                  <c:v>-5.271744673734115E-4</c:v>
                </c:pt>
                <c:pt idx="203">
                  <c:v>-9.2560291277615642E-3</c:v>
                </c:pt>
                <c:pt idx="204">
                  <c:v>-2.944188827332204E-3</c:v>
                </c:pt>
                <c:pt idx="205">
                  <c:v>-5.5092460068530483E-3</c:v>
                </c:pt>
                <c:pt idx="206">
                  <c:v>-4.550916959332546E-3</c:v>
                </c:pt>
                <c:pt idx="207">
                  <c:v>1.1284963212107877E-3</c:v>
                </c:pt>
                <c:pt idx="208">
                  <c:v>4.281825030749942E-3</c:v>
                </c:pt>
                <c:pt idx="209">
                  <c:v>5.8624678395887246E-3</c:v>
                </c:pt>
                <c:pt idx="210">
                  <c:v>-5.4490757314781205E-4</c:v>
                </c:pt>
                <c:pt idx="211">
                  <c:v>-8.9294437652865212E-4</c:v>
                </c:pt>
                <c:pt idx="212">
                  <c:v>-9.1055796024294613E-3</c:v>
                </c:pt>
                <c:pt idx="213">
                  <c:v>-1.4469282018818419E-2</c:v>
                </c:pt>
                <c:pt idx="214">
                  <c:v>-1.4488247165321466E-2</c:v>
                </c:pt>
                <c:pt idx="215">
                  <c:v>-1.4380172751489596E-2</c:v>
                </c:pt>
                <c:pt idx="216">
                  <c:v>-1.5119265970431818E-2</c:v>
                </c:pt>
                <c:pt idx="217">
                  <c:v>-1.3428008122235709E-2</c:v>
                </c:pt>
                <c:pt idx="218">
                  <c:v>-8.0688050241777623E-3</c:v>
                </c:pt>
                <c:pt idx="219">
                  <c:v>-1.6463625093618161E-2</c:v>
                </c:pt>
                <c:pt idx="220">
                  <c:v>-2.7074973358636543E-3</c:v>
                </c:pt>
                <c:pt idx="221">
                  <c:v>7.6636628162338074E-4</c:v>
                </c:pt>
                <c:pt idx="222">
                  <c:v>-6.0656279341268259E-3</c:v>
                </c:pt>
                <c:pt idx="223">
                  <c:v>-4.730044871138147E-3</c:v>
                </c:pt>
                <c:pt idx="224">
                  <c:v>-1.2830178924808943E-3</c:v>
                </c:pt>
                <c:pt idx="225">
                  <c:v>-6.925534973229043E-3</c:v>
                </c:pt>
                <c:pt idx="226">
                  <c:v>-1.709366284549773E-4</c:v>
                </c:pt>
                <c:pt idx="227">
                  <c:v>-8.5515832267142045E-3</c:v>
                </c:pt>
                <c:pt idx="228">
                  <c:v>-9.5873519029968778E-3</c:v>
                </c:pt>
                <c:pt idx="229">
                  <c:v>-6.711146332097814E-3</c:v>
                </c:pt>
                <c:pt idx="230">
                  <c:v>2.461967284573467E-3</c:v>
                </c:pt>
                <c:pt idx="231">
                  <c:v>1.3300633752144717E-3</c:v>
                </c:pt>
                <c:pt idx="232">
                  <c:v>9.1799871409635712E-3</c:v>
                </c:pt>
                <c:pt idx="233">
                  <c:v>1.1927251694794487E-2</c:v>
                </c:pt>
                <c:pt idx="234">
                  <c:v>1.421245500824718E-2</c:v>
                </c:pt>
                <c:pt idx="235">
                  <c:v>1.642215003883403E-2</c:v>
                </c:pt>
                <c:pt idx="236">
                  <c:v>1.3473336584131667E-2</c:v>
                </c:pt>
                <c:pt idx="237">
                  <c:v>1.0593954443614098E-2</c:v>
                </c:pt>
                <c:pt idx="238">
                  <c:v>5.8047857190277408E-3</c:v>
                </c:pt>
                <c:pt idx="239">
                  <c:v>-1.004643823444373E-3</c:v>
                </c:pt>
                <c:pt idx="240">
                  <c:v>5.6184763183336033E-3</c:v>
                </c:pt>
                <c:pt idx="241">
                  <c:v>1.0823695725757986E-2</c:v>
                </c:pt>
                <c:pt idx="242">
                  <c:v>6.526717170151226E-3</c:v>
                </c:pt>
                <c:pt idx="243">
                  <c:v>-3.694814647602883E-3</c:v>
                </c:pt>
                <c:pt idx="244">
                  <c:v>-7.4393854423036518E-5</c:v>
                </c:pt>
                <c:pt idx="245">
                  <c:v>3.0586024459271005E-3</c:v>
                </c:pt>
                <c:pt idx="246">
                  <c:v>2.0525913504180434E-3</c:v>
                </c:pt>
                <c:pt idx="247">
                  <c:v>-6.4489447359848953E-3</c:v>
                </c:pt>
                <c:pt idx="248">
                  <c:v>-1.8726322685788926E-4</c:v>
                </c:pt>
                <c:pt idx="249">
                  <c:v>4.7859975553623239E-5</c:v>
                </c:pt>
                <c:pt idx="250">
                  <c:v>-5.108707810539413E-3</c:v>
                </c:pt>
                <c:pt idx="251">
                  <c:v>-6.7778334346091504E-3</c:v>
                </c:pt>
                <c:pt idx="252">
                  <c:v>1.6251826275058305E-3</c:v>
                </c:pt>
                <c:pt idx="253">
                  <c:v>4.8065773717291295E-3</c:v>
                </c:pt>
                <c:pt idx="254">
                  <c:v>9.5351810574615184E-4</c:v>
                </c:pt>
                <c:pt idx="255">
                  <c:v>1.025885655725163E-3</c:v>
                </c:pt>
                <c:pt idx="256">
                  <c:v>8.060370550581562E-3</c:v>
                </c:pt>
                <c:pt idx="257">
                  <c:v>5.2925070869755779E-3</c:v>
                </c:pt>
                <c:pt idx="258">
                  <c:v>-2.750910501864118E-3</c:v>
                </c:pt>
                <c:pt idx="259">
                  <c:v>-3.3593318362101238E-3</c:v>
                </c:pt>
                <c:pt idx="260">
                  <c:v>-5.6048218939589432E-4</c:v>
                </c:pt>
                <c:pt idx="261">
                  <c:v>-3.5407091900500768E-5</c:v>
                </c:pt>
                <c:pt idx="262">
                  <c:v>-1.6805323767438748E-2</c:v>
                </c:pt>
                <c:pt idx="263">
                  <c:v>-9.9771675256049488E-3</c:v>
                </c:pt>
                <c:pt idx="264">
                  <c:v>-8.5820157196410066E-3</c:v>
                </c:pt>
                <c:pt idx="265">
                  <c:v>-4.5969711702066639E-3</c:v>
                </c:pt>
                <c:pt idx="266">
                  <c:v>-8.6131979757205802E-3</c:v>
                </c:pt>
                <c:pt idx="267">
                  <c:v>-1.3475229186453774E-2</c:v>
                </c:pt>
                <c:pt idx="268">
                  <c:v>-6.1220133956180426E-3</c:v>
                </c:pt>
                <c:pt idx="269">
                  <c:v>-1.7854317239499436E-2</c:v>
                </c:pt>
                <c:pt idx="270">
                  <c:v>-1.6783809241892531E-2</c:v>
                </c:pt>
                <c:pt idx="271">
                  <c:v>-1.5055623826678664E-2</c:v>
                </c:pt>
                <c:pt idx="272">
                  <c:v>-1.5146357082255688E-2</c:v>
                </c:pt>
                <c:pt idx="273">
                  <c:v>-1.3891607573712252E-2</c:v>
                </c:pt>
                <c:pt idx="274">
                  <c:v>-1.2295569616640894E-2</c:v>
                </c:pt>
                <c:pt idx="275">
                  <c:v>-1.8784785292843709E-2</c:v>
                </c:pt>
                <c:pt idx="276">
                  <c:v>-1.3483487478534313E-2</c:v>
                </c:pt>
                <c:pt idx="277">
                  <c:v>1.1021584503480664E-2</c:v>
                </c:pt>
                <c:pt idx="278">
                  <c:v>2.0153180049803859E-2</c:v>
                </c:pt>
                <c:pt idx="279">
                  <c:v>1.4306893263531045E-2</c:v>
                </c:pt>
                <c:pt idx="280">
                  <c:v>1.5356212674523737E-2</c:v>
                </c:pt>
                <c:pt idx="281">
                  <c:v>9.1766060827116209E-3</c:v>
                </c:pt>
                <c:pt idx="282">
                  <c:v>4.6443768679155601E-3</c:v>
                </c:pt>
                <c:pt idx="283">
                  <c:v>8.3625898226979065E-3</c:v>
                </c:pt>
                <c:pt idx="284">
                  <c:v>2.4465162977046855E-2</c:v>
                </c:pt>
                <c:pt idx="285">
                  <c:v>1.3346181704242788E-2</c:v>
                </c:pt>
                <c:pt idx="286">
                  <c:v>8.2270842729301567E-3</c:v>
                </c:pt>
                <c:pt idx="287">
                  <c:v>5.3862881356737582E-3</c:v>
                </c:pt>
                <c:pt idx="288">
                  <c:v>1.0134975528538849E-2</c:v>
                </c:pt>
                <c:pt idx="289">
                  <c:v>-2.6451265599689543E-3</c:v>
                </c:pt>
                <c:pt idx="290">
                  <c:v>-7.3702979734249522E-3</c:v>
                </c:pt>
                <c:pt idx="291">
                  <c:v>-2.7679955389630353E-3</c:v>
                </c:pt>
                <c:pt idx="292">
                  <c:v>-7.2236538676780527E-3</c:v>
                </c:pt>
                <c:pt idx="293">
                  <c:v>-3.2199159147956223E-3</c:v>
                </c:pt>
                <c:pt idx="294">
                  <c:v>4.3229703964802659E-3</c:v>
                </c:pt>
                <c:pt idx="295">
                  <c:v>7.2389742238050886E-3</c:v>
                </c:pt>
                <c:pt idx="296">
                  <c:v>7.5669106747699114E-3</c:v>
                </c:pt>
                <c:pt idx="297">
                  <c:v>-1.0388017203578435E-3</c:v>
                </c:pt>
                <c:pt idx="298">
                  <c:v>4.1297319260255412E-3</c:v>
                </c:pt>
                <c:pt idx="299">
                  <c:v>4.7219459693939765E-4</c:v>
                </c:pt>
                <c:pt idx="300">
                  <c:v>3.3970024393190461E-3</c:v>
                </c:pt>
                <c:pt idx="301">
                  <c:v>-1.6240189669357867E-3</c:v>
                </c:pt>
                <c:pt idx="302">
                  <c:v>4.2486609643729197E-3</c:v>
                </c:pt>
                <c:pt idx="303">
                  <c:v>3.801142384098192E-3</c:v>
                </c:pt>
                <c:pt idx="304">
                  <c:v>9.3761435776351359E-3</c:v>
                </c:pt>
                <c:pt idx="305">
                  <c:v>5.0338325041768984E-3</c:v>
                </c:pt>
                <c:pt idx="306">
                  <c:v>8.887353634986158E-3</c:v>
                </c:pt>
                <c:pt idx="307">
                  <c:v>-2.3161965804319364E-3</c:v>
                </c:pt>
                <c:pt idx="308">
                  <c:v>2.7226296937920393E-3</c:v>
                </c:pt>
                <c:pt idx="309">
                  <c:v>-3.9918238181178671E-3</c:v>
                </c:pt>
                <c:pt idx="310">
                  <c:v>-4.4481859152772822E-3</c:v>
                </c:pt>
                <c:pt idx="311">
                  <c:v>4.3479829891107588E-3</c:v>
                </c:pt>
                <c:pt idx="312">
                  <c:v>1.0587248384898976E-2</c:v>
                </c:pt>
                <c:pt idx="313">
                  <c:v>-1.9051090814836458E-2</c:v>
                </c:pt>
                <c:pt idx="314">
                  <c:v>-1.7383367532981576E-2</c:v>
                </c:pt>
                <c:pt idx="315">
                  <c:v>-1.7059238339509425E-2</c:v>
                </c:pt>
                <c:pt idx="316">
                  <c:v>-1.2237470808390126E-2</c:v>
                </c:pt>
                <c:pt idx="317">
                  <c:v>-1.0547088528859352E-2</c:v>
                </c:pt>
                <c:pt idx="318">
                  <c:v>-1.4014176359076393E-2</c:v>
                </c:pt>
                <c:pt idx="319">
                  <c:v>-1.3798391947985248E-2</c:v>
                </c:pt>
                <c:pt idx="320">
                  <c:v>-1.9176841914087927E-2</c:v>
                </c:pt>
                <c:pt idx="321">
                  <c:v>-1.4168602632528447E-2</c:v>
                </c:pt>
                <c:pt idx="322">
                  <c:v>-7.0553035308499011E-3</c:v>
                </c:pt>
                <c:pt idx="323">
                  <c:v>-2.273959630798043E-4</c:v>
                </c:pt>
                <c:pt idx="324">
                  <c:v>-3.291819631027123E-3</c:v>
                </c:pt>
                <c:pt idx="325">
                  <c:v>-1.4406575105573496E-2</c:v>
                </c:pt>
                <c:pt idx="326">
                  <c:v>-1.1508742549786542E-2</c:v>
                </c:pt>
                <c:pt idx="327">
                  <c:v>-2.383736875040518E-2</c:v>
                </c:pt>
                <c:pt idx="328">
                  <c:v>-2.4780490774615922E-2</c:v>
                </c:pt>
                <c:pt idx="329">
                  <c:v>-1.2861602274690898E-2</c:v>
                </c:pt>
                <c:pt idx="330">
                  <c:v>-5.3935302104915588E-3</c:v>
                </c:pt>
                <c:pt idx="331">
                  <c:v>-6.9168611075327343E-3</c:v>
                </c:pt>
                <c:pt idx="332">
                  <c:v>1.9806149624599818E-3</c:v>
                </c:pt>
                <c:pt idx="333">
                  <c:v>2.6414237471669546E-3</c:v>
                </c:pt>
                <c:pt idx="334">
                  <c:v>-1.1062474571290842E-2</c:v>
                </c:pt>
                <c:pt idx="335">
                  <c:v>-1.037009199017778E-2</c:v>
                </c:pt>
                <c:pt idx="336">
                  <c:v>-1.6265826047364682E-2</c:v>
                </c:pt>
                <c:pt idx="337">
                  <c:v>-7.053385408725861E-4</c:v>
                </c:pt>
                <c:pt idx="338">
                  <c:v>1.0969645930539999E-2</c:v>
                </c:pt>
                <c:pt idx="339">
                  <c:v>7.5639635523115367E-3</c:v>
                </c:pt>
                <c:pt idx="340">
                  <c:v>7.5822426793271495E-3</c:v>
                </c:pt>
                <c:pt idx="341">
                  <c:v>1.0727363497423988E-2</c:v>
                </c:pt>
                <c:pt idx="342">
                  <c:v>1.51324701755941E-2</c:v>
                </c:pt>
                <c:pt idx="343">
                  <c:v>1.1681659538089488E-2</c:v>
                </c:pt>
                <c:pt idx="344">
                  <c:v>1.5054253647243684E-2</c:v>
                </c:pt>
                <c:pt idx="345">
                  <c:v>1.767617295272737E-2</c:v>
                </c:pt>
                <c:pt idx="346">
                  <c:v>1.8838425035372114E-2</c:v>
                </c:pt>
                <c:pt idx="347">
                  <c:v>1.5008765472130203E-2</c:v>
                </c:pt>
                <c:pt idx="348">
                  <c:v>1.0607027037091902E-2</c:v>
                </c:pt>
                <c:pt idx="349">
                  <c:v>-1.5195701674091636E-2</c:v>
                </c:pt>
                <c:pt idx="350">
                  <c:v>-1.4252714008988181E-3</c:v>
                </c:pt>
                <c:pt idx="351">
                  <c:v>-1.4199279109931213E-3</c:v>
                </c:pt>
                <c:pt idx="352">
                  <c:v>-4.1798201859332296E-3</c:v>
                </c:pt>
                <c:pt idx="353">
                  <c:v>-6.1459408230858936E-3</c:v>
                </c:pt>
                <c:pt idx="354">
                  <c:v>-9.6370841394534563E-3</c:v>
                </c:pt>
                <c:pt idx="355">
                  <c:v>-1.2289353868941132E-2</c:v>
                </c:pt>
                <c:pt idx="356">
                  <c:v>-3.7189770498432225E-3</c:v>
                </c:pt>
                <c:pt idx="357">
                  <c:v>-5.3682804663674408E-3</c:v>
                </c:pt>
                <c:pt idx="358">
                  <c:v>-5.7644927716962039E-3</c:v>
                </c:pt>
                <c:pt idx="359">
                  <c:v>-4.482906217339132E-3</c:v>
                </c:pt>
                <c:pt idx="360">
                  <c:v>-4.9357925409556618E-3</c:v>
                </c:pt>
                <c:pt idx="361">
                  <c:v>-2.0019771559402964E-2</c:v>
                </c:pt>
                <c:pt idx="362">
                  <c:v>-1.5087613359616274E-2</c:v>
                </c:pt>
                <c:pt idx="363">
                  <c:v>-4.0586117080192953E-3</c:v>
                </c:pt>
                <c:pt idx="364">
                  <c:v>-2.8410281956135065E-3</c:v>
                </c:pt>
                <c:pt idx="365">
                  <c:v>2.9988298955726674E-3</c:v>
                </c:pt>
                <c:pt idx="366">
                  <c:v>1.1163314505849857E-2</c:v>
                </c:pt>
                <c:pt idx="367">
                  <c:v>9.0394935665842353E-3</c:v>
                </c:pt>
                <c:pt idx="368">
                  <c:v>8.3217444191119334E-3</c:v>
                </c:pt>
                <c:pt idx="369">
                  <c:v>8.6823855467549494E-3</c:v>
                </c:pt>
                <c:pt idx="370">
                  <c:v>1.2996895510012232E-2</c:v>
                </c:pt>
                <c:pt idx="371">
                  <c:v>6.8450002503691234E-3</c:v>
                </c:pt>
                <c:pt idx="372">
                  <c:v>3.4965341357661561E-3</c:v>
                </c:pt>
                <c:pt idx="373">
                  <c:v>5.5675589820397805E-3</c:v>
                </c:pt>
                <c:pt idx="374">
                  <c:v>8.0426185351051768E-3</c:v>
                </c:pt>
                <c:pt idx="375">
                  <c:v>1.8054185761816948E-3</c:v>
                </c:pt>
                <c:pt idx="376">
                  <c:v>1.5843629358784166E-3</c:v>
                </c:pt>
                <c:pt idx="377">
                  <c:v>1.2838296640164074E-2</c:v>
                </c:pt>
                <c:pt idx="378">
                  <c:v>2.3423271442886043E-2</c:v>
                </c:pt>
                <c:pt idx="379">
                  <c:v>2.1154441217109833E-2</c:v>
                </c:pt>
                <c:pt idx="380">
                  <c:v>1.0636659266040519E-2</c:v>
                </c:pt>
                <c:pt idx="381">
                  <c:v>1.2273108749007618E-3</c:v>
                </c:pt>
                <c:pt idx="382">
                  <c:v>-1.4435801604778284E-3</c:v>
                </c:pt>
                <c:pt idx="383">
                  <c:v>3.972997187734373E-3</c:v>
                </c:pt>
                <c:pt idx="384">
                  <c:v>6.6115642128967821E-3</c:v>
                </c:pt>
                <c:pt idx="385">
                  <c:v>7.8314905373796408E-3</c:v>
                </c:pt>
                <c:pt idx="386">
                  <c:v>3.3502514600979917E-3</c:v>
                </c:pt>
                <c:pt idx="387">
                  <c:v>1.6636894398694836E-3</c:v>
                </c:pt>
                <c:pt idx="388">
                  <c:v>-1.0515720064521489E-4</c:v>
                </c:pt>
                <c:pt idx="389">
                  <c:v>-1.7421895095841124E-3</c:v>
                </c:pt>
                <c:pt idx="390">
                  <c:v>-1.1940326132471441E-2</c:v>
                </c:pt>
                <c:pt idx="391">
                  <c:v>-1.7261573231895345E-2</c:v>
                </c:pt>
                <c:pt idx="392">
                  <c:v>-1.0929455372924751E-2</c:v>
                </c:pt>
                <c:pt idx="393">
                  <c:v>-6.7100153080472142E-3</c:v>
                </c:pt>
                <c:pt idx="394">
                  <c:v>-7.4223963356958161E-3</c:v>
                </c:pt>
                <c:pt idx="395">
                  <c:v>1.9834409404597599E-3</c:v>
                </c:pt>
                <c:pt idx="396">
                  <c:v>-9.6056675195404038E-3</c:v>
                </c:pt>
                <c:pt idx="397">
                  <c:v>-9.940581352868098E-3</c:v>
                </c:pt>
                <c:pt idx="398">
                  <c:v>9.1438526445702158E-4</c:v>
                </c:pt>
                <c:pt idx="399">
                  <c:v>3.8776990197030492E-3</c:v>
                </c:pt>
                <c:pt idx="400">
                  <c:v>3.3370114674058419E-3</c:v>
                </c:pt>
                <c:pt idx="401">
                  <c:v>1.2974853912072429E-3</c:v>
                </c:pt>
                <c:pt idx="402">
                  <c:v>-1.284218218172322E-3</c:v>
                </c:pt>
                <c:pt idx="403">
                  <c:v>-7.7884977145271754E-3</c:v>
                </c:pt>
                <c:pt idx="404">
                  <c:v>-1.4044161578055731E-2</c:v>
                </c:pt>
                <c:pt idx="405">
                  <c:v>-8.8395408053744181E-3</c:v>
                </c:pt>
                <c:pt idx="406">
                  <c:v>-7.7312321343235707E-3</c:v>
                </c:pt>
                <c:pt idx="407">
                  <c:v>-4.3817135445861806E-5</c:v>
                </c:pt>
                <c:pt idx="408">
                  <c:v>-2.6479186929135841E-3</c:v>
                </c:pt>
                <c:pt idx="409">
                  <c:v>-7.2690520851975407E-3</c:v>
                </c:pt>
                <c:pt idx="410">
                  <c:v>-6.6537518639679469E-3</c:v>
                </c:pt>
                <c:pt idx="411">
                  <c:v>4.8319475115579172E-3</c:v>
                </c:pt>
                <c:pt idx="412">
                  <c:v>7.641648218375415E-4</c:v>
                </c:pt>
                <c:pt idx="413">
                  <c:v>5.3176253657845167E-3</c:v>
                </c:pt>
                <c:pt idx="414">
                  <c:v>7.5795337486203786E-3</c:v>
                </c:pt>
                <c:pt idx="415">
                  <c:v>2.3099283310700023E-3</c:v>
                </c:pt>
                <c:pt idx="416">
                  <c:v>7.3679246640651038E-3</c:v>
                </c:pt>
                <c:pt idx="417">
                  <c:v>1.0282301480746627E-2</c:v>
                </c:pt>
                <c:pt idx="418">
                  <c:v>9.8817307999165237E-3</c:v>
                </c:pt>
                <c:pt idx="419">
                  <c:v>5.6813704713699151E-3</c:v>
                </c:pt>
                <c:pt idx="420">
                  <c:v>8.9915737827238884E-3</c:v>
                </c:pt>
                <c:pt idx="421">
                  <c:v>-6.3502568973332705E-3</c:v>
                </c:pt>
                <c:pt idx="422">
                  <c:v>-5.930856723673248E-3</c:v>
                </c:pt>
                <c:pt idx="423">
                  <c:v>-2.4102821698713649E-4</c:v>
                </c:pt>
                <c:pt idx="424">
                  <c:v>4.1058964430653912E-3</c:v>
                </c:pt>
                <c:pt idx="425">
                  <c:v>-1.2306892877938078E-2</c:v>
                </c:pt>
                <c:pt idx="426">
                  <c:v>-1.2229986527237703E-2</c:v>
                </c:pt>
                <c:pt idx="427">
                  <c:v>-9.6651508144039288E-3</c:v>
                </c:pt>
                <c:pt idx="428">
                  <c:v>1.55799742644026E-5</c:v>
                </c:pt>
                <c:pt idx="429">
                  <c:v>1.1981714279673393E-3</c:v>
                </c:pt>
                <c:pt idx="430">
                  <c:v>-6.025570745414802E-3</c:v>
                </c:pt>
                <c:pt idx="431">
                  <c:v>-3.4473982727122455E-3</c:v>
                </c:pt>
                <c:pt idx="432">
                  <c:v>-8.7808772211915727E-4</c:v>
                </c:pt>
                <c:pt idx="433">
                  <c:v>-6.8312684092409408E-5</c:v>
                </c:pt>
                <c:pt idx="434">
                  <c:v>6.9656276654203944E-3</c:v>
                </c:pt>
                <c:pt idx="435">
                  <c:v>6.6834940100222052E-3</c:v>
                </c:pt>
                <c:pt idx="436">
                  <c:v>-8.3199772220454646E-3</c:v>
                </c:pt>
                <c:pt idx="437">
                  <c:v>-4.4985032541324035E-3</c:v>
                </c:pt>
                <c:pt idx="438">
                  <c:v>1.2630037553093358E-2</c:v>
                </c:pt>
                <c:pt idx="439">
                  <c:v>-3.4317147206640673E-3</c:v>
                </c:pt>
                <c:pt idx="440">
                  <c:v>-1.95497244564494E-2</c:v>
                </c:pt>
                <c:pt idx="441">
                  <c:v>-4.708564702639334E-3</c:v>
                </c:pt>
                <c:pt idx="442">
                  <c:v>-4.4174919250296978E-3</c:v>
                </c:pt>
                <c:pt idx="443">
                  <c:v>7.0707304249618885E-3</c:v>
                </c:pt>
                <c:pt idx="444">
                  <c:v>-4.7643615947313986E-3</c:v>
                </c:pt>
                <c:pt idx="445">
                  <c:v>2.3376220434150182E-4</c:v>
                </c:pt>
                <c:pt idx="446">
                  <c:v>1.498012441911902E-2</c:v>
                </c:pt>
                <c:pt idx="447">
                  <c:v>1.7474061647744881E-2</c:v>
                </c:pt>
                <c:pt idx="448">
                  <c:v>3.8689322949449455E-3</c:v>
                </c:pt>
                <c:pt idx="449">
                  <c:v>3.5551127312728123E-3</c:v>
                </c:pt>
                <c:pt idx="450">
                  <c:v>6.7916087795473114E-3</c:v>
                </c:pt>
                <c:pt idx="451">
                  <c:v>1.5500627359125789E-2</c:v>
                </c:pt>
                <c:pt idx="452">
                  <c:v>1.7118284450005319E-2</c:v>
                </c:pt>
                <c:pt idx="453">
                  <c:v>8.2178884083045876E-3</c:v>
                </c:pt>
                <c:pt idx="454">
                  <c:v>-3.2547325245021446E-3</c:v>
                </c:pt>
                <c:pt idx="455">
                  <c:v>-8.1923898164152284E-3</c:v>
                </c:pt>
                <c:pt idx="456">
                  <c:v>-8.8948144517702245E-3</c:v>
                </c:pt>
                <c:pt idx="457">
                  <c:v>-4.3262933915925172E-3</c:v>
                </c:pt>
                <c:pt idx="458">
                  <c:v>-1.0378320302899893E-2</c:v>
                </c:pt>
                <c:pt idx="459">
                  <c:v>-3.3976657261659451E-2</c:v>
                </c:pt>
                <c:pt idx="460">
                  <c:v>-5.258896984086809E-2</c:v>
                </c:pt>
                <c:pt idx="461">
                  <c:v>-4.7511189496528355E-2</c:v>
                </c:pt>
                <c:pt idx="462">
                  <c:v>-5.7181012442241524E-2</c:v>
                </c:pt>
                <c:pt idx="463">
                  <c:v>-6.3493900976416717E-2</c:v>
                </c:pt>
                <c:pt idx="464">
                  <c:v>-4.745287799371127E-2</c:v>
                </c:pt>
                <c:pt idx="465">
                  <c:v>-4.9728945289496847E-2</c:v>
                </c:pt>
                <c:pt idx="466">
                  <c:v>-2.3594002081161664E-2</c:v>
                </c:pt>
                <c:pt idx="467">
                  <c:v>-5.9807432814483197E-2</c:v>
                </c:pt>
                <c:pt idx="468">
                  <c:v>-4.3177295033572427E-2</c:v>
                </c:pt>
                <c:pt idx="469">
                  <c:v>-5.4064770355828365E-2</c:v>
                </c:pt>
                <c:pt idx="470">
                  <c:v>4.7457391320363321E-3</c:v>
                </c:pt>
                <c:pt idx="471">
                  <c:v>-1.002955458854001E-2</c:v>
                </c:pt>
                <c:pt idx="472">
                  <c:v>-6.3939387633522957E-2</c:v>
                </c:pt>
                <c:pt idx="473">
                  <c:v>-2.6163725087312604E-2</c:v>
                </c:pt>
                <c:pt idx="474">
                  <c:v>1.367066849324438E-2</c:v>
                </c:pt>
                <c:pt idx="475">
                  <c:v>3.0930259531806534E-3</c:v>
                </c:pt>
                <c:pt idx="476">
                  <c:v>-8.5039439962041316E-2</c:v>
                </c:pt>
                <c:pt idx="477">
                  <c:v>-9.6767697023154339E-2</c:v>
                </c:pt>
                <c:pt idx="478">
                  <c:v>-6.512488954867271E-2</c:v>
                </c:pt>
                <c:pt idx="479">
                  <c:v>-4.9368374330068548E-2</c:v>
                </c:pt>
                <c:pt idx="480">
                  <c:v>5.7256822765508975E-2</c:v>
                </c:pt>
                <c:pt idx="481">
                  <c:v>7.0197163819210567E-2</c:v>
                </c:pt>
                <c:pt idx="482">
                  <c:v>5.4355537487008165E-2</c:v>
                </c:pt>
                <c:pt idx="483">
                  <c:v>5.2890886514080915E-3</c:v>
                </c:pt>
                <c:pt idx="484">
                  <c:v>-3.7212976426093024E-2</c:v>
                </c:pt>
                <c:pt idx="485">
                  <c:v>-2.7522081547531881E-2</c:v>
                </c:pt>
                <c:pt idx="486">
                  <c:v>-5.8657622620140196E-2</c:v>
                </c:pt>
                <c:pt idx="487">
                  <c:v>-5.9282803943706316E-2</c:v>
                </c:pt>
                <c:pt idx="488">
                  <c:v>-6.217452419602091E-2</c:v>
                </c:pt>
                <c:pt idx="489">
                  <c:v>-4.0028215321317583E-2</c:v>
                </c:pt>
                <c:pt idx="490">
                  <c:v>-6.1033148742033125E-3</c:v>
                </c:pt>
                <c:pt idx="491">
                  <c:v>2.6659926667364657E-2</c:v>
                </c:pt>
                <c:pt idx="492">
                  <c:v>4.8384223498826671E-2</c:v>
                </c:pt>
                <c:pt idx="493">
                  <c:v>1.0175718078802191E-2</c:v>
                </c:pt>
                <c:pt idx="494">
                  <c:v>1.7077127195147986E-2</c:v>
                </c:pt>
                <c:pt idx="495">
                  <c:v>2.0370382596730727E-2</c:v>
                </c:pt>
                <c:pt idx="496">
                  <c:v>-1.7104885239507837E-2</c:v>
                </c:pt>
                <c:pt idx="497">
                  <c:v>1.2796186778564513E-3</c:v>
                </c:pt>
                <c:pt idx="498">
                  <c:v>-1.2628430458919421E-2</c:v>
                </c:pt>
                <c:pt idx="499">
                  <c:v>-1.0471818309989058E-2</c:v>
                </c:pt>
                <c:pt idx="500">
                  <c:v>-2.7930747474363457E-2</c:v>
                </c:pt>
                <c:pt idx="501">
                  <c:v>-2.0136318738869313E-2</c:v>
                </c:pt>
                <c:pt idx="502">
                  <c:v>-1.2344445383873106E-2</c:v>
                </c:pt>
                <c:pt idx="503">
                  <c:v>-1.7200472480356152E-2</c:v>
                </c:pt>
                <c:pt idx="504">
                  <c:v>2.2961727380198353E-2</c:v>
                </c:pt>
                <c:pt idx="505">
                  <c:v>5.0518703261395473E-2</c:v>
                </c:pt>
                <c:pt idx="506">
                  <c:v>2.0262502201824517E-2</c:v>
                </c:pt>
                <c:pt idx="507">
                  <c:v>-2.2151994112240989E-2</c:v>
                </c:pt>
                <c:pt idx="508">
                  <c:v>-3.956620434270585E-2</c:v>
                </c:pt>
                <c:pt idx="509">
                  <c:v>-3.7319516782616767E-2</c:v>
                </c:pt>
                <c:pt idx="510">
                  <c:v>-3.4439759257721254E-2</c:v>
                </c:pt>
                <c:pt idx="511">
                  <c:v>-1.4846851299646505E-2</c:v>
                </c:pt>
                <c:pt idx="512">
                  <c:v>7.9055579011000892E-3</c:v>
                </c:pt>
                <c:pt idx="513">
                  <c:v>4.3481182360230212E-3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CC5-41C9-87FB-B485B2AB24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2224687"/>
        <c:axId val="1753712607"/>
      </c:scatterChart>
      <c:valAx>
        <c:axId val="17522246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712607"/>
        <c:crosses val="autoZero"/>
        <c:crossBetween val="midCat"/>
      </c:valAx>
      <c:valAx>
        <c:axId val="1753712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222468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259080</xdr:colOff>
      <xdr:row>0</xdr:row>
      <xdr:rowOff>0</xdr:rowOff>
    </xdr:from>
    <xdr:to>
      <xdr:col>29</xdr:col>
      <xdr:colOff>431235</xdr:colOff>
      <xdr:row>15</xdr:row>
      <xdr:rowOff>49905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00BDFB2-D317-49B8-A6FF-218E88F820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226540" y="0"/>
          <a:ext cx="5048955" cy="2686425"/>
        </a:xfrm>
        <a:prstGeom prst="rect">
          <a:avLst/>
        </a:prstGeom>
      </xdr:spPr>
    </xdr:pic>
    <xdr:clientData/>
  </xdr:twoCellAnchor>
  <xdr:twoCellAnchor editAs="oneCell">
    <xdr:from>
      <xdr:col>21</xdr:col>
      <xdr:colOff>335280</xdr:colOff>
      <xdr:row>15</xdr:row>
      <xdr:rowOff>76200</xdr:rowOff>
    </xdr:from>
    <xdr:to>
      <xdr:col>31</xdr:col>
      <xdr:colOff>421868</xdr:colOff>
      <xdr:row>21</xdr:row>
      <xdr:rowOff>72536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D9149D5-D408-4206-83E8-04134BFEF7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302740" y="2712720"/>
          <a:ext cx="6182588" cy="1047896"/>
        </a:xfrm>
        <a:prstGeom prst="rect">
          <a:avLst/>
        </a:prstGeom>
      </xdr:spPr>
    </xdr:pic>
    <xdr:clientData/>
  </xdr:twoCellAnchor>
  <xdr:twoCellAnchor>
    <xdr:from>
      <xdr:col>12</xdr:col>
      <xdr:colOff>7620</xdr:colOff>
      <xdr:row>19</xdr:row>
      <xdr:rowOff>34290</xdr:rowOff>
    </xdr:from>
    <xdr:to>
      <xdr:col>21</xdr:col>
      <xdr:colOff>320040</xdr:colOff>
      <xdr:row>45</xdr:row>
      <xdr:rowOff>7620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908661D-9DC0-4904-8075-F3DF544034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22</xdr:col>
      <xdr:colOff>0</xdr:colOff>
      <xdr:row>49</xdr:row>
      <xdr:rowOff>0</xdr:rowOff>
    </xdr:from>
    <xdr:to>
      <xdr:col>27</xdr:col>
      <xdr:colOff>95689</xdr:colOff>
      <xdr:row>53</xdr:row>
      <xdr:rowOff>13435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903FCB8-8964-44D0-9BB0-D1DA43155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577060" y="8602980"/>
          <a:ext cx="3143689" cy="714475"/>
        </a:xfrm>
        <a:prstGeom prst="rect">
          <a:avLst/>
        </a:prstGeom>
      </xdr:spPr>
    </xdr:pic>
    <xdr:clientData/>
  </xdr:twoCellAnchor>
  <xdr:twoCellAnchor editAs="oneCell">
    <xdr:from>
      <xdr:col>21</xdr:col>
      <xdr:colOff>594360</xdr:colOff>
      <xdr:row>53</xdr:row>
      <xdr:rowOff>83820</xdr:rowOff>
    </xdr:from>
    <xdr:to>
      <xdr:col>27</xdr:col>
      <xdr:colOff>337660</xdr:colOff>
      <xdr:row>62</xdr:row>
      <xdr:rowOff>59272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6868FB44-6D71-4A31-891F-EBCA1F9A28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561820" y="9387840"/>
          <a:ext cx="3400900" cy="1552792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63</xdr:row>
      <xdr:rowOff>0</xdr:rowOff>
    </xdr:from>
    <xdr:to>
      <xdr:col>28</xdr:col>
      <xdr:colOff>543511</xdr:colOff>
      <xdr:row>76</xdr:row>
      <xdr:rowOff>160360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15BE4EA1-357A-400C-AC34-EE2B6ADF1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577060" y="11056620"/>
          <a:ext cx="4201111" cy="24387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DD5E92-B9E2-4B39-A396-A1812F21D3FD}">
  <dimension ref="A1:W541"/>
  <sheetViews>
    <sheetView tabSelected="1" topLeftCell="B1" workbookViewId="0">
      <selection activeCell="Q14" sqref="Q14"/>
    </sheetView>
  </sheetViews>
  <sheetFormatPr defaultRowHeight="13.8" x14ac:dyDescent="0.25"/>
  <cols>
    <col min="1" max="1" width="10.5546875" style="1" bestFit="1" customWidth="1"/>
    <col min="2" max="2" width="8.88671875" style="1"/>
    <col min="3" max="3" width="8.88671875" style="6"/>
    <col min="4" max="4" width="10.109375" style="6" bestFit="1" customWidth="1"/>
    <col min="5" max="5" width="8" style="12" bestFit="1" customWidth="1"/>
    <col min="6" max="6" width="10.109375" style="6" customWidth="1"/>
    <col min="7" max="7" width="8.88671875" style="1"/>
    <col min="8" max="8" width="8.88671875" style="15"/>
    <col min="9" max="12" width="8.88671875" style="1"/>
    <col min="13" max="14" width="16.44140625" style="1" bestFit="1" customWidth="1"/>
    <col min="15" max="15" width="7.5546875" style="1" bestFit="1" customWidth="1"/>
    <col min="16" max="16384" width="8.88671875" style="1"/>
  </cols>
  <sheetData>
    <row r="1" spans="1:23" x14ac:dyDescent="0.25">
      <c r="A1" s="18" t="s">
        <v>327</v>
      </c>
      <c r="B1" s="18"/>
      <c r="C1" s="5"/>
      <c r="D1" s="5"/>
      <c r="E1" s="19" t="s">
        <v>339</v>
      </c>
      <c r="F1" s="19"/>
      <c r="G1" s="19" t="s">
        <v>340</v>
      </c>
      <c r="H1" s="19"/>
      <c r="I1" s="7"/>
      <c r="J1" s="7"/>
      <c r="K1" s="7"/>
      <c r="L1" s="7"/>
      <c r="M1" s="20" t="s">
        <v>328</v>
      </c>
      <c r="N1" s="20"/>
      <c r="O1" s="20"/>
      <c r="P1" s="20"/>
      <c r="Q1" s="20"/>
      <c r="R1" s="20"/>
      <c r="S1" s="20"/>
      <c r="T1" s="20"/>
      <c r="U1" s="20"/>
      <c r="V1" s="20"/>
      <c r="W1" s="20"/>
    </row>
    <row r="2" spans="1:23" x14ac:dyDescent="0.25">
      <c r="A2" s="1" t="s">
        <v>0</v>
      </c>
      <c r="B2" s="1" t="s">
        <v>1</v>
      </c>
      <c r="C2" s="6" t="s">
        <v>341</v>
      </c>
      <c r="D2" s="6" t="s">
        <v>340</v>
      </c>
      <c r="E2" s="12" t="s">
        <v>344</v>
      </c>
      <c r="F2" s="6" t="s">
        <v>345</v>
      </c>
      <c r="G2" s="6" t="s">
        <v>344</v>
      </c>
      <c r="H2" s="15" t="s">
        <v>345</v>
      </c>
      <c r="M2" s="20" t="s">
        <v>329</v>
      </c>
      <c r="N2" s="20"/>
      <c r="O2" s="20"/>
      <c r="P2" s="20"/>
      <c r="Q2" s="20"/>
      <c r="R2" s="20"/>
      <c r="S2" s="20"/>
      <c r="T2" s="20"/>
      <c r="U2" s="20"/>
      <c r="V2" s="20"/>
      <c r="W2" s="20"/>
    </row>
    <row r="3" spans="1:23" x14ac:dyDescent="0.25">
      <c r="A3" s="1" t="s">
        <v>2</v>
      </c>
      <c r="B3" s="1">
        <v>51.08</v>
      </c>
      <c r="M3" s="20" t="s">
        <v>330</v>
      </c>
      <c r="N3" s="20"/>
      <c r="O3" s="20"/>
      <c r="P3" s="20"/>
      <c r="Q3" s="20"/>
      <c r="R3" s="20"/>
      <c r="S3" s="20"/>
      <c r="T3" s="20"/>
      <c r="U3" s="20"/>
      <c r="V3" s="20"/>
      <c r="W3" s="20"/>
    </row>
    <row r="4" spans="1:23" x14ac:dyDescent="0.25">
      <c r="A4" s="1" t="s">
        <v>3</v>
      </c>
      <c r="B4" s="1">
        <v>49.81</v>
      </c>
      <c r="C4" s="6">
        <f>(B4-B3)/B3</f>
        <v>-2.4862960062646752E-2</v>
      </c>
      <c r="D4" s="6">
        <f>LN(B4/B3)</f>
        <v>-2.5177264079146462E-2</v>
      </c>
      <c r="M4" s="20" t="s">
        <v>331</v>
      </c>
      <c r="N4" s="20"/>
      <c r="O4" s="20"/>
      <c r="P4" s="20"/>
      <c r="Q4" s="20"/>
      <c r="R4" s="20"/>
      <c r="S4" s="20"/>
      <c r="T4" s="20"/>
      <c r="U4" s="20"/>
      <c r="V4" s="20"/>
      <c r="W4" s="20"/>
    </row>
    <row r="5" spans="1:23" x14ac:dyDescent="0.25">
      <c r="A5" s="1" t="s">
        <v>4</v>
      </c>
      <c r="B5" s="1">
        <v>50.64</v>
      </c>
      <c r="C5" s="6">
        <f>(B5-B4)/B4</f>
        <v>1.6663320618349693E-2</v>
      </c>
      <c r="D5" s="6">
        <f t="shared" ref="D5:D68" si="0">LN(B5/B4)</f>
        <v>1.652601075072874E-2</v>
      </c>
      <c r="M5" s="20" t="s">
        <v>332</v>
      </c>
      <c r="N5" s="20"/>
      <c r="O5" s="20"/>
      <c r="P5" s="20"/>
      <c r="Q5" s="20"/>
      <c r="R5" s="20"/>
      <c r="S5" s="20"/>
      <c r="T5" s="20"/>
      <c r="U5" s="20"/>
      <c r="V5" s="20"/>
      <c r="W5" s="20"/>
    </row>
    <row r="6" spans="1:23" x14ac:dyDescent="0.25">
      <c r="A6" s="1" t="s">
        <v>5</v>
      </c>
      <c r="B6" s="1">
        <v>49.71</v>
      </c>
      <c r="C6" s="6">
        <f t="shared" ref="C6:C69" si="1">(B6-B5)/B5</f>
        <v>-1.8364928909952602E-2</v>
      </c>
      <c r="D6" s="6">
        <f t="shared" si="0"/>
        <v>-1.8535657729339464E-2</v>
      </c>
      <c r="M6" s="20" t="s">
        <v>333</v>
      </c>
      <c r="N6" s="20"/>
      <c r="O6" s="20"/>
      <c r="P6" s="20"/>
      <c r="Q6" s="20"/>
      <c r="R6" s="20"/>
      <c r="S6" s="20"/>
      <c r="T6" s="20"/>
      <c r="U6" s="20"/>
      <c r="V6" s="20"/>
      <c r="W6" s="20"/>
    </row>
    <row r="7" spans="1:23" x14ac:dyDescent="0.25">
      <c r="A7" s="1" t="s">
        <v>6</v>
      </c>
      <c r="B7" s="1">
        <v>49.66</v>
      </c>
      <c r="C7" s="6">
        <f t="shared" si="1"/>
        <v>-1.0058338362503372E-3</v>
      </c>
      <c r="D7" s="6">
        <f t="shared" si="0"/>
        <v>-1.0063400265607363E-3</v>
      </c>
      <c r="M7" s="20" t="s">
        <v>334</v>
      </c>
      <c r="N7" s="20"/>
      <c r="O7" s="20"/>
      <c r="P7" s="20"/>
      <c r="Q7" s="20"/>
      <c r="R7" s="20"/>
      <c r="S7" s="20"/>
      <c r="T7" s="20"/>
      <c r="U7" s="20"/>
      <c r="V7" s="20"/>
      <c r="W7" s="20"/>
    </row>
    <row r="8" spans="1:23" x14ac:dyDescent="0.25">
      <c r="A8" s="1" t="s">
        <v>7</v>
      </c>
      <c r="B8" s="1">
        <v>50.74</v>
      </c>
      <c r="C8" s="6">
        <f t="shared" si="1"/>
        <v>2.1747885622231282E-2</v>
      </c>
      <c r="D8" s="6">
        <f t="shared" si="0"/>
        <v>2.151477409111538E-2</v>
      </c>
      <c r="M8" s="20" t="s">
        <v>335</v>
      </c>
      <c r="N8" s="20"/>
      <c r="O8" s="20"/>
      <c r="P8" s="20"/>
      <c r="Q8" s="20"/>
      <c r="R8" s="20"/>
      <c r="S8" s="20"/>
      <c r="T8" s="20"/>
      <c r="U8" s="20"/>
      <c r="V8" s="20"/>
      <c r="W8" s="20"/>
    </row>
    <row r="9" spans="1:23" x14ac:dyDescent="0.25">
      <c r="A9" s="2">
        <v>43135</v>
      </c>
      <c r="B9" s="1">
        <v>48.61</v>
      </c>
      <c r="C9" s="6">
        <f t="shared" si="1"/>
        <v>-4.1978715017737533E-2</v>
      </c>
      <c r="D9" s="6">
        <f t="shared" si="0"/>
        <v>-4.2885283113771745E-2</v>
      </c>
    </row>
    <row r="10" spans="1:23" ht="14.4" customHeight="1" x14ac:dyDescent="0.25">
      <c r="A10" s="2">
        <v>43163</v>
      </c>
      <c r="B10" s="1">
        <v>50.26</v>
      </c>
      <c r="C10" s="6">
        <f t="shared" si="1"/>
        <v>3.3943632997325626E-2</v>
      </c>
      <c r="D10" s="6">
        <f t="shared" si="0"/>
        <v>3.3380261058082061E-2</v>
      </c>
      <c r="M10" s="18" t="s">
        <v>338</v>
      </c>
      <c r="N10" s="18"/>
      <c r="O10" s="18"/>
      <c r="P10" s="18"/>
      <c r="Q10" s="18"/>
      <c r="R10" s="18"/>
      <c r="S10" s="18"/>
      <c r="T10" s="18"/>
      <c r="U10" s="18"/>
      <c r="V10" s="18"/>
    </row>
    <row r="11" spans="1:23" x14ac:dyDescent="0.25">
      <c r="A11" s="2">
        <v>43194</v>
      </c>
      <c r="B11" s="1">
        <v>50.82</v>
      </c>
      <c r="C11" s="6">
        <f t="shared" si="1"/>
        <v>1.1142061281337092E-2</v>
      </c>
      <c r="D11" s="6">
        <f t="shared" si="0"/>
        <v>1.1080445776571959E-2</v>
      </c>
      <c r="M11" s="19" t="s">
        <v>339</v>
      </c>
      <c r="N11" s="1" t="s">
        <v>336</v>
      </c>
      <c r="O11" s="4">
        <f>AVERAGE(B3:B540)</f>
        <v>31.680520446096651</v>
      </c>
    </row>
    <row r="12" spans="1:23" x14ac:dyDescent="0.25">
      <c r="A12" s="2">
        <v>43224</v>
      </c>
      <c r="B12" s="1">
        <v>50.92</v>
      </c>
      <c r="C12" s="6">
        <f t="shared" si="1"/>
        <v>1.9677292404565411E-3</v>
      </c>
      <c r="D12" s="6">
        <f t="shared" si="0"/>
        <v>1.9657957971877483E-3</v>
      </c>
      <c r="M12" s="19"/>
      <c r="N12" s="1" t="s">
        <v>337</v>
      </c>
      <c r="O12" s="4">
        <f>STDEV(B3:B540)</f>
        <v>8.3061855363570061</v>
      </c>
    </row>
    <row r="13" spans="1:23" x14ac:dyDescent="0.25">
      <c r="A13" s="2">
        <v>43255</v>
      </c>
      <c r="B13" s="1">
        <v>49.11</v>
      </c>
      <c r="C13" s="6">
        <f t="shared" si="1"/>
        <v>-3.5545954438334686E-2</v>
      </c>
      <c r="D13" s="6">
        <f t="shared" si="0"/>
        <v>-3.6193093638052537E-2</v>
      </c>
      <c r="M13" s="19" t="s">
        <v>341</v>
      </c>
      <c r="N13" s="1" t="s">
        <v>336</v>
      </c>
      <c r="O13" s="4">
        <f>AVERAGE(C3:C540)</f>
        <v>-2.2789498942352941E-3</v>
      </c>
    </row>
    <row r="14" spans="1:23" x14ac:dyDescent="0.25">
      <c r="A14" s="2">
        <v>43347</v>
      </c>
      <c r="B14" s="1">
        <v>48.65</v>
      </c>
      <c r="C14" s="6">
        <f t="shared" si="1"/>
        <v>-9.3667277540216021E-3</v>
      </c>
      <c r="D14" s="6">
        <f t="shared" si="0"/>
        <v>-9.4108714191391604E-3</v>
      </c>
      <c r="M14" s="19"/>
      <c r="N14" s="1" t="s">
        <v>337</v>
      </c>
      <c r="O14" s="4">
        <f>STDEV(C3:C540)</f>
        <v>3.845816562400816E-2</v>
      </c>
      <c r="U14" s="3"/>
      <c r="V14" s="3"/>
    </row>
    <row r="15" spans="1:23" x14ac:dyDescent="0.25">
      <c r="A15" s="2">
        <v>43377</v>
      </c>
      <c r="B15" s="1">
        <v>46.35</v>
      </c>
      <c r="C15" s="6">
        <f t="shared" si="1"/>
        <v>-4.7276464542651539E-2</v>
      </c>
      <c r="D15" s="6">
        <f t="shared" si="0"/>
        <v>-4.8430516620149869E-2</v>
      </c>
      <c r="M15" s="19" t="s">
        <v>340</v>
      </c>
      <c r="N15" s="1" t="s">
        <v>336</v>
      </c>
      <c r="O15" s="4">
        <f>AVERAGE(C3:D540)</f>
        <v>-2.6486533524408538E-3</v>
      </c>
    </row>
    <row r="16" spans="1:23" x14ac:dyDescent="0.25">
      <c r="A16" s="2">
        <v>43408</v>
      </c>
      <c r="B16" s="1">
        <v>44.33</v>
      </c>
      <c r="C16" s="6">
        <f t="shared" si="1"/>
        <v>-4.3581445523193159E-2</v>
      </c>
      <c r="D16" s="6">
        <f t="shared" si="0"/>
        <v>-4.4559643254902116E-2</v>
      </c>
      <c r="M16" s="19"/>
      <c r="N16" s="1" t="s">
        <v>337</v>
      </c>
      <c r="O16" s="4">
        <f>STDEV(C3:D540)</f>
        <v>3.8434983587902226E-2</v>
      </c>
    </row>
    <row r="17" spans="1:22" x14ac:dyDescent="0.25">
      <c r="A17" s="2">
        <v>43438</v>
      </c>
      <c r="B17" s="1">
        <v>45.48</v>
      </c>
      <c r="C17" s="6">
        <f t="shared" si="1"/>
        <v>2.594180013534849E-2</v>
      </c>
      <c r="D17" s="6">
        <f t="shared" si="0"/>
        <v>2.5611020125373026E-2</v>
      </c>
      <c r="P17" s="3"/>
      <c r="Q17" s="3"/>
      <c r="R17" s="3"/>
      <c r="S17" s="3"/>
      <c r="T17" s="3"/>
    </row>
    <row r="18" spans="1:22" x14ac:dyDescent="0.25">
      <c r="A18" s="1" t="s">
        <v>8</v>
      </c>
      <c r="B18" s="1">
        <v>44.79</v>
      </c>
      <c r="C18" s="6">
        <f t="shared" si="1"/>
        <v>-1.5171503957783591E-2</v>
      </c>
      <c r="D18" s="6">
        <f t="shared" si="0"/>
        <v>-1.5287768663126488E-2</v>
      </c>
      <c r="M18" s="18" t="s">
        <v>343</v>
      </c>
      <c r="N18" s="18"/>
      <c r="O18" s="18"/>
      <c r="P18" s="18"/>
      <c r="Q18" s="18"/>
      <c r="R18" s="18"/>
      <c r="S18" s="18"/>
      <c r="T18" s="18"/>
      <c r="U18" s="18"/>
      <c r="V18" s="18"/>
    </row>
    <row r="19" spans="1:22" x14ac:dyDescent="0.25">
      <c r="A19" s="1" t="s">
        <v>9</v>
      </c>
      <c r="B19" s="1">
        <v>45.31</v>
      </c>
      <c r="C19" s="6">
        <f t="shared" si="1"/>
        <v>1.1609734315695537E-2</v>
      </c>
      <c r="D19" s="6">
        <f t="shared" si="0"/>
        <v>1.1542858459838216E-2</v>
      </c>
      <c r="M19" s="1" t="s">
        <v>349</v>
      </c>
      <c r="N19" s="1">
        <v>0.3</v>
      </c>
    </row>
    <row r="20" spans="1:22" x14ac:dyDescent="0.25">
      <c r="A20" s="1" t="s">
        <v>10</v>
      </c>
      <c r="B20" s="1">
        <v>44.68</v>
      </c>
      <c r="C20" s="6">
        <f t="shared" si="1"/>
        <v>-1.3904215404987917E-2</v>
      </c>
      <c r="D20" s="6">
        <f t="shared" si="0"/>
        <v>-1.4001784478046883E-2</v>
      </c>
    </row>
    <row r="21" spans="1:22" x14ac:dyDescent="0.25">
      <c r="A21" s="1" t="s">
        <v>11</v>
      </c>
      <c r="B21" s="1">
        <v>46.64</v>
      </c>
      <c r="C21" s="6">
        <f t="shared" si="1"/>
        <v>4.3867502238137887E-2</v>
      </c>
      <c r="D21" s="6">
        <f t="shared" si="0"/>
        <v>4.2932567841236953E-2</v>
      </c>
    </row>
    <row r="22" spans="1:22" ht="14.4" customHeight="1" x14ac:dyDescent="0.25">
      <c r="A22" s="1" t="s">
        <v>12</v>
      </c>
      <c r="B22" s="1">
        <v>45.78</v>
      </c>
      <c r="C22" s="6">
        <f t="shared" si="1"/>
        <v>-1.843910806174956E-2</v>
      </c>
      <c r="D22" s="6">
        <f t="shared" si="0"/>
        <v>-1.861122751781626E-2</v>
      </c>
    </row>
    <row r="23" spans="1:22" x14ac:dyDescent="0.25">
      <c r="A23" s="1" t="s">
        <v>13</v>
      </c>
      <c r="B23" s="1">
        <v>45.68</v>
      </c>
      <c r="C23" s="6">
        <f t="shared" si="1"/>
        <v>-2.1843599825251509E-3</v>
      </c>
      <c r="D23" s="6">
        <f t="shared" si="0"/>
        <v>-2.1867491766659384E-3</v>
      </c>
    </row>
    <row r="24" spans="1:22" x14ac:dyDescent="0.25">
      <c r="A24" s="1" t="s">
        <v>14</v>
      </c>
      <c r="B24" s="1">
        <v>45.58</v>
      </c>
      <c r="C24" s="6">
        <f t="shared" si="1"/>
        <v>-2.1891418563923255E-3</v>
      </c>
      <c r="D24" s="6">
        <f t="shared" si="0"/>
        <v>-2.1915415302165798E-3</v>
      </c>
    </row>
    <row r="25" spans="1:22" x14ac:dyDescent="0.25">
      <c r="A25" s="1" t="s">
        <v>15</v>
      </c>
      <c r="B25" s="1">
        <v>44.62</v>
      </c>
      <c r="C25" s="6">
        <f t="shared" si="1"/>
        <v>-2.1061869240895148E-2</v>
      </c>
      <c r="D25" s="6">
        <f t="shared" si="0"/>
        <v>-2.1286834813151762E-2</v>
      </c>
    </row>
    <row r="26" spans="1:22" x14ac:dyDescent="0.25">
      <c r="A26" s="1" t="s">
        <v>16</v>
      </c>
      <c r="B26" s="1">
        <v>44.19</v>
      </c>
      <c r="C26" s="6">
        <f t="shared" si="1"/>
        <v>-9.6369341102644501E-3</v>
      </c>
      <c r="D26" s="6">
        <f t="shared" si="0"/>
        <v>-9.6836698617378553E-3</v>
      </c>
    </row>
    <row r="27" spans="1:22" s="8" customFormat="1" x14ac:dyDescent="0.25">
      <c r="A27" s="8" t="s">
        <v>17</v>
      </c>
      <c r="B27" s="8">
        <v>41.38</v>
      </c>
      <c r="C27" s="9">
        <f t="shared" si="1"/>
        <v>-6.358904729576817E-2</v>
      </c>
      <c r="D27" s="9">
        <f t="shared" si="0"/>
        <v>-6.5700846825251541E-2</v>
      </c>
      <c r="E27" s="13">
        <f>SUM(B3:B27)/25</f>
        <v>47.392799999999994</v>
      </c>
      <c r="F27" s="9"/>
      <c r="G27" s="9">
        <f>SUM(D3:D27)/25</f>
        <v>-8.4238143538776528E-3</v>
      </c>
      <c r="H27" s="16">
        <f>G27</f>
        <v>-8.4238143538776528E-3</v>
      </c>
    </row>
    <row r="28" spans="1:22" s="10" customFormat="1" x14ac:dyDescent="0.25">
      <c r="A28" s="10" t="s">
        <v>18</v>
      </c>
      <c r="B28" s="10">
        <v>42.38</v>
      </c>
      <c r="C28" s="11">
        <f t="shared" si="1"/>
        <v>2.4166263895601739E-2</v>
      </c>
      <c r="D28" s="11">
        <f t="shared" si="0"/>
        <v>2.3878880522756024E-2</v>
      </c>
      <c r="E28" s="14">
        <f>SUM(B4:B28)/25</f>
        <v>47.044800000000002</v>
      </c>
      <c r="F28" s="11"/>
      <c r="G28" s="11">
        <f t="shared" ref="G28:G91" si="2">SUM(D4:D28)/25</f>
        <v>-7.4686591329674121E-3</v>
      </c>
      <c r="H28" s="17">
        <f>D28*$N$19+(1-$N$19)*H27</f>
        <v>1.2669941091124504E-3</v>
      </c>
    </row>
    <row r="29" spans="1:22" x14ac:dyDescent="0.25">
      <c r="A29" s="1" t="s">
        <v>19</v>
      </c>
      <c r="B29" s="1">
        <v>41.92</v>
      </c>
      <c r="C29" s="6">
        <f t="shared" si="1"/>
        <v>-1.0854176498348297E-2</v>
      </c>
      <c r="D29" s="6">
        <f t="shared" si="0"/>
        <v>-1.0913512827366311E-2</v>
      </c>
      <c r="E29" s="14">
        <f t="shared" ref="E29:E92" si="3">SUM(B5:B29)/25</f>
        <v>46.729200000000013</v>
      </c>
      <c r="G29" s="11">
        <f t="shared" si="2"/>
        <v>-6.8981090828962059E-3</v>
      </c>
      <c r="H29" s="17">
        <f t="shared" ref="H29:H92" si="4">D29*$N$19+(1-$N$19)*H28</f>
        <v>-2.387157971831178E-3</v>
      </c>
    </row>
    <row r="30" spans="1:22" x14ac:dyDescent="0.25">
      <c r="A30" s="2">
        <v>43105</v>
      </c>
      <c r="B30" s="1">
        <v>42.34</v>
      </c>
      <c r="C30" s="6">
        <f t="shared" si="1"/>
        <v>1.001908396946569E-2</v>
      </c>
      <c r="D30" s="6">
        <f t="shared" si="0"/>
        <v>9.96922569393233E-3</v>
      </c>
      <c r="E30" s="14">
        <f t="shared" si="3"/>
        <v>46.397200000000005</v>
      </c>
      <c r="G30" s="11">
        <f t="shared" si="2"/>
        <v>-7.160380485168062E-3</v>
      </c>
      <c r="H30" s="17">
        <f t="shared" si="4"/>
        <v>1.3197571278978745E-3</v>
      </c>
    </row>
    <row r="31" spans="1:22" x14ac:dyDescent="0.25">
      <c r="A31" s="2">
        <v>43136</v>
      </c>
      <c r="B31" s="1">
        <v>41.25</v>
      </c>
      <c r="C31" s="6">
        <f t="shared" si="1"/>
        <v>-2.5743977326405369E-2</v>
      </c>
      <c r="D31" s="6">
        <f t="shared" si="0"/>
        <v>-2.6081152926029139E-2</v>
      </c>
      <c r="E31" s="14">
        <f t="shared" si="3"/>
        <v>46.058799999999991</v>
      </c>
      <c r="G31" s="11">
        <f t="shared" si="2"/>
        <v>-7.4622002930356491E-3</v>
      </c>
      <c r="H31" s="17">
        <f t="shared" si="4"/>
        <v>-6.9005158882802283E-3</v>
      </c>
    </row>
    <row r="32" spans="1:22" x14ac:dyDescent="0.25">
      <c r="A32" s="2">
        <v>43164</v>
      </c>
      <c r="B32" s="1">
        <v>41.12</v>
      </c>
      <c r="C32" s="6">
        <f t="shared" si="1"/>
        <v>-3.1515151515152137E-3</v>
      </c>
      <c r="D32" s="6">
        <f t="shared" si="0"/>
        <v>-3.1564916337804105E-3</v>
      </c>
      <c r="E32" s="14">
        <f t="shared" si="3"/>
        <v>45.717199999999984</v>
      </c>
      <c r="G32" s="11">
        <f t="shared" si="2"/>
        <v>-7.5482063573244348E-3</v>
      </c>
      <c r="H32" s="17">
        <f t="shared" si="4"/>
        <v>-5.7773086119302826E-3</v>
      </c>
    </row>
    <row r="33" spans="1:22" x14ac:dyDescent="0.25">
      <c r="A33" s="2">
        <v>43195</v>
      </c>
      <c r="B33" s="1">
        <v>41.85</v>
      </c>
      <c r="C33" s="6">
        <f t="shared" si="1"/>
        <v>1.775291828793784E-2</v>
      </c>
      <c r="D33" s="6">
        <f t="shared" si="0"/>
        <v>1.7597175788574816E-2</v>
      </c>
      <c r="E33" s="14">
        <f t="shared" si="3"/>
        <v>45.361599999999989</v>
      </c>
      <c r="G33" s="11">
        <f t="shared" si="2"/>
        <v>-7.7049102894260592E-3</v>
      </c>
      <c r="H33" s="17">
        <f t="shared" si="4"/>
        <v>1.2350367082212474E-3</v>
      </c>
    </row>
    <row r="34" spans="1:22" x14ac:dyDescent="0.25">
      <c r="A34" s="2">
        <v>43286</v>
      </c>
      <c r="B34" s="1">
        <v>41.54</v>
      </c>
      <c r="C34" s="6">
        <f t="shared" si="1"/>
        <v>-7.4074074074074615E-3</v>
      </c>
      <c r="D34" s="6">
        <f t="shared" si="0"/>
        <v>-7.4349784875180902E-3</v>
      </c>
      <c r="E34" s="14">
        <f t="shared" si="3"/>
        <v>45.078799999999994</v>
      </c>
      <c r="G34" s="11">
        <f t="shared" si="2"/>
        <v>-6.2868981043759124E-3</v>
      </c>
      <c r="H34" s="17">
        <f t="shared" si="4"/>
        <v>-1.3659678505005537E-3</v>
      </c>
    </row>
    <row r="35" spans="1:22" x14ac:dyDescent="0.25">
      <c r="A35" s="2">
        <v>43317</v>
      </c>
      <c r="B35" s="1">
        <v>42.09</v>
      </c>
      <c r="C35" s="6">
        <f t="shared" si="1"/>
        <v>1.3240250361097839E-2</v>
      </c>
      <c r="D35" s="6">
        <f t="shared" si="0"/>
        <v>1.315336433451305E-2</v>
      </c>
      <c r="E35" s="14">
        <f t="shared" si="3"/>
        <v>44.751999999999995</v>
      </c>
      <c r="G35" s="11">
        <f t="shared" si="2"/>
        <v>-7.0959739733186724E-3</v>
      </c>
      <c r="H35" s="17">
        <f t="shared" si="4"/>
        <v>2.9898318050035275E-3</v>
      </c>
    </row>
    <row r="36" spans="1:22" x14ac:dyDescent="0.25">
      <c r="A36" s="2">
        <v>43348</v>
      </c>
      <c r="B36" s="1">
        <v>40.619999999999997</v>
      </c>
      <c r="C36" s="6">
        <f t="shared" si="1"/>
        <v>-3.4925160370634492E-2</v>
      </c>
      <c r="D36" s="6">
        <f t="shared" si="0"/>
        <v>-3.5549626630240819E-2</v>
      </c>
      <c r="E36" s="14">
        <f t="shared" si="3"/>
        <v>44.343999999999994</v>
      </c>
      <c r="G36" s="11">
        <f t="shared" si="2"/>
        <v>-8.9611768695911833E-3</v>
      </c>
      <c r="H36" s="17">
        <f t="shared" si="4"/>
        <v>-8.5720057255697767E-3</v>
      </c>
    </row>
    <row r="37" spans="1:22" x14ac:dyDescent="0.25">
      <c r="A37" s="2">
        <v>43378</v>
      </c>
      <c r="B37" s="1">
        <v>41.15</v>
      </c>
      <c r="C37" s="6">
        <f t="shared" si="1"/>
        <v>1.3047759724273786E-2</v>
      </c>
      <c r="D37" s="6">
        <f t="shared" si="0"/>
        <v>1.2963370970840179E-2</v>
      </c>
      <c r="E37" s="14">
        <f t="shared" si="3"/>
        <v>43.95320000000001</v>
      </c>
      <c r="G37" s="11">
        <f t="shared" si="2"/>
        <v>-8.5212738626450849E-3</v>
      </c>
      <c r="H37" s="17">
        <f t="shared" si="4"/>
        <v>-2.1113927166467894E-3</v>
      </c>
    </row>
    <row r="38" spans="1:22" x14ac:dyDescent="0.25">
      <c r="A38" s="2">
        <v>43409</v>
      </c>
      <c r="B38" s="1">
        <v>41.7</v>
      </c>
      <c r="C38" s="6">
        <f t="shared" si="1"/>
        <v>1.3365735115431453E-2</v>
      </c>
      <c r="D38" s="6">
        <f t="shared" si="0"/>
        <v>1.3277201681677083E-2</v>
      </c>
      <c r="E38" s="14">
        <f t="shared" si="3"/>
        <v>43.656800000000004</v>
      </c>
      <c r="G38" s="11">
        <f t="shared" si="2"/>
        <v>-6.5424620498558995E-3</v>
      </c>
      <c r="H38" s="17">
        <f t="shared" si="4"/>
        <v>2.5051856028503721E-3</v>
      </c>
    </row>
    <row r="39" spans="1:22" x14ac:dyDescent="0.25">
      <c r="A39" s="1" t="s">
        <v>20</v>
      </c>
      <c r="B39" s="1">
        <v>41.56</v>
      </c>
      <c r="C39" s="6">
        <f t="shared" si="1"/>
        <v>-3.3573141486810685E-3</v>
      </c>
      <c r="D39" s="6">
        <f t="shared" si="0"/>
        <v>-3.3629625737291893E-3</v>
      </c>
      <c r="E39" s="14">
        <f t="shared" si="3"/>
        <v>43.373199999999997</v>
      </c>
      <c r="G39" s="11">
        <f t="shared" si="2"/>
        <v>-6.3005456960395015E-3</v>
      </c>
      <c r="H39" s="17">
        <f t="shared" si="4"/>
        <v>7.4474114987650351E-4</v>
      </c>
    </row>
    <row r="40" spans="1:22" x14ac:dyDescent="0.25">
      <c r="A40" s="1" t="s">
        <v>21</v>
      </c>
      <c r="B40" s="1">
        <v>42.28</v>
      </c>
      <c r="C40" s="6">
        <f t="shared" si="1"/>
        <v>1.7324350336862339E-2</v>
      </c>
      <c r="D40" s="6">
        <f t="shared" si="0"/>
        <v>1.7175994771010179E-2</v>
      </c>
      <c r="E40" s="14">
        <f t="shared" si="3"/>
        <v>43.2104</v>
      </c>
      <c r="G40" s="11">
        <f t="shared" si="2"/>
        <v>-3.6762852403931E-3</v>
      </c>
      <c r="H40" s="17">
        <f t="shared" si="4"/>
        <v>5.6741172362166055E-3</v>
      </c>
    </row>
    <row r="41" spans="1:22" x14ac:dyDescent="0.25">
      <c r="A41" s="1" t="s">
        <v>22</v>
      </c>
      <c r="B41" s="1">
        <v>43.13</v>
      </c>
      <c r="C41" s="6">
        <f t="shared" si="1"/>
        <v>2.0104068117313183E-2</v>
      </c>
      <c r="D41" s="6">
        <f t="shared" si="0"/>
        <v>1.9904649657714976E-2</v>
      </c>
      <c r="E41" s="14">
        <f t="shared" si="3"/>
        <v>43.162400000000005</v>
      </c>
      <c r="G41" s="11">
        <f t="shared" si="2"/>
        <v>-1.0977135238884181E-3</v>
      </c>
      <c r="H41" s="17">
        <f t="shared" si="4"/>
        <v>9.9432769626661161E-3</v>
      </c>
    </row>
    <row r="42" spans="1:22" x14ac:dyDescent="0.25">
      <c r="A42" s="1" t="s">
        <v>23</v>
      </c>
      <c r="B42" s="1">
        <v>42.71</v>
      </c>
      <c r="C42" s="6">
        <f t="shared" si="1"/>
        <v>-9.7380013911430949E-3</v>
      </c>
      <c r="D42" s="6">
        <f t="shared" si="0"/>
        <v>-9.7857258063766966E-3</v>
      </c>
      <c r="E42" s="14">
        <f t="shared" si="3"/>
        <v>43.051600000000008</v>
      </c>
      <c r="G42" s="11">
        <f t="shared" si="2"/>
        <v>-2.5135833611584068E-3</v>
      </c>
      <c r="H42" s="17">
        <f t="shared" si="4"/>
        <v>4.0245761319532714E-3</v>
      </c>
    </row>
    <row r="43" spans="1:22" x14ac:dyDescent="0.25">
      <c r="A43" s="1" t="s">
        <v>24</v>
      </c>
      <c r="B43" s="1">
        <v>42.46</v>
      </c>
      <c r="C43" s="6">
        <f t="shared" si="1"/>
        <v>-5.8534301100444863E-3</v>
      </c>
      <c r="D43" s="6">
        <f t="shared" si="0"/>
        <v>-5.8706285782650714E-3</v>
      </c>
      <c r="E43" s="14">
        <f t="shared" si="3"/>
        <v>42.958400000000005</v>
      </c>
      <c r="G43" s="11">
        <f t="shared" si="2"/>
        <v>-2.136897757763951E-3</v>
      </c>
      <c r="H43" s="17">
        <f t="shared" si="4"/>
        <v>1.0560147188877686E-3</v>
      </c>
    </row>
    <row r="44" spans="1:22" x14ac:dyDescent="0.25">
      <c r="A44" s="1" t="s">
        <v>25</v>
      </c>
      <c r="B44" s="1">
        <v>43.34</v>
      </c>
      <c r="C44" s="6">
        <f t="shared" si="1"/>
        <v>2.0725388601036329E-2</v>
      </c>
      <c r="D44" s="6">
        <f t="shared" si="0"/>
        <v>2.0513539833103028E-2</v>
      </c>
      <c r="E44" s="14">
        <f t="shared" si="3"/>
        <v>42.879600000000003</v>
      </c>
      <c r="G44" s="11">
        <f t="shared" si="2"/>
        <v>-1.7780705028333582E-3</v>
      </c>
      <c r="H44" s="17">
        <f t="shared" si="4"/>
        <v>6.8932722531523461E-3</v>
      </c>
    </row>
    <row r="45" spans="1:22" x14ac:dyDescent="0.25">
      <c r="A45" s="1" t="s">
        <v>26</v>
      </c>
      <c r="B45" s="1">
        <v>41.97</v>
      </c>
      <c r="C45" s="6">
        <f t="shared" si="1"/>
        <v>-3.1610521458237298E-2</v>
      </c>
      <c r="D45" s="6">
        <f t="shared" si="0"/>
        <v>-3.2120918762713585E-2</v>
      </c>
      <c r="E45" s="14">
        <f t="shared" si="3"/>
        <v>42.771200000000007</v>
      </c>
      <c r="G45" s="11">
        <f t="shared" si="2"/>
        <v>-2.5028358742200259E-3</v>
      </c>
      <c r="H45" s="17">
        <f t="shared" si="4"/>
        <v>-4.810985051607433E-3</v>
      </c>
    </row>
    <row r="46" spans="1:22" x14ac:dyDescent="0.25">
      <c r="A46" s="1" t="s">
        <v>27</v>
      </c>
      <c r="B46" s="1">
        <v>41.89</v>
      </c>
      <c r="C46" s="6">
        <f t="shared" si="1"/>
        <v>-1.906123421491501E-3</v>
      </c>
      <c r="D46" s="6">
        <f t="shared" si="0"/>
        <v>-1.9079423865559989E-3</v>
      </c>
      <c r="E46" s="14">
        <f t="shared" si="3"/>
        <v>42.58120000000001</v>
      </c>
      <c r="G46" s="11">
        <f t="shared" si="2"/>
        <v>-4.2964562833317441E-3</v>
      </c>
      <c r="H46" s="17">
        <f t="shared" si="4"/>
        <v>-3.9400722520920028E-3</v>
      </c>
    </row>
    <row r="47" spans="1:22" x14ac:dyDescent="0.25">
      <c r="A47" s="1" t="s">
        <v>28</v>
      </c>
      <c r="B47" s="1">
        <v>42.64</v>
      </c>
      <c r="C47" s="6">
        <f t="shared" si="1"/>
        <v>1.7904034375746E-2</v>
      </c>
      <c r="D47" s="6">
        <f t="shared" si="0"/>
        <v>1.7745644898645545E-2</v>
      </c>
      <c r="E47" s="14">
        <f t="shared" si="3"/>
        <v>42.455600000000004</v>
      </c>
      <c r="G47" s="11">
        <f t="shared" si="2"/>
        <v>-2.8421813866732724E-3</v>
      </c>
      <c r="H47" s="17">
        <f t="shared" si="4"/>
        <v>2.5656428931292614E-3</v>
      </c>
      <c r="M47" s="18" t="s">
        <v>350</v>
      </c>
      <c r="N47" s="18"/>
      <c r="O47" s="18"/>
      <c r="P47" s="18"/>
      <c r="Q47" s="18"/>
      <c r="R47" s="18"/>
      <c r="S47" s="18"/>
      <c r="T47" s="18"/>
      <c r="U47" s="18"/>
      <c r="V47" s="18"/>
    </row>
    <row r="48" spans="1:22" x14ac:dyDescent="0.25">
      <c r="A48" s="1" t="s">
        <v>29</v>
      </c>
      <c r="B48" s="1">
        <v>43.96</v>
      </c>
      <c r="C48" s="6">
        <f t="shared" si="1"/>
        <v>3.0956848030018767E-2</v>
      </c>
      <c r="D48" s="6">
        <f t="shared" si="0"/>
        <v>3.0487349677831607E-2</v>
      </c>
      <c r="E48" s="14">
        <f t="shared" si="3"/>
        <v>42.386800000000001</v>
      </c>
      <c r="G48" s="11">
        <f t="shared" si="2"/>
        <v>-1.5352174324933703E-3</v>
      </c>
      <c r="H48" s="17">
        <f t="shared" si="4"/>
        <v>1.0942154928539964E-2</v>
      </c>
      <c r="M48" s="1" t="s">
        <v>351</v>
      </c>
    </row>
    <row r="49" spans="1:22" x14ac:dyDescent="0.25">
      <c r="A49" s="1" t="s">
        <v>30</v>
      </c>
      <c r="B49" s="1">
        <v>42.67</v>
      </c>
      <c r="C49" s="6">
        <f t="shared" si="1"/>
        <v>-2.9344858962693336E-2</v>
      </c>
      <c r="D49" s="6">
        <f t="shared" si="0"/>
        <v>-2.9784032335511999E-2</v>
      </c>
      <c r="E49" s="14">
        <f t="shared" si="3"/>
        <v>42.270400000000009</v>
      </c>
      <c r="G49" s="11">
        <f t="shared" si="2"/>
        <v>-2.638917064705188E-3</v>
      </c>
      <c r="H49" s="17">
        <f t="shared" si="4"/>
        <v>-1.2757012506756241E-3</v>
      </c>
    </row>
    <row r="50" spans="1:22" x14ac:dyDescent="0.25">
      <c r="A50" s="1" t="s">
        <v>31</v>
      </c>
      <c r="B50" s="1">
        <v>42.38</v>
      </c>
      <c r="C50" s="6">
        <f t="shared" si="1"/>
        <v>-6.7963440356221963E-3</v>
      </c>
      <c r="D50" s="6">
        <f t="shared" si="0"/>
        <v>-6.8195443597556075E-3</v>
      </c>
      <c r="E50" s="14">
        <f t="shared" si="3"/>
        <v>42.180800000000005</v>
      </c>
      <c r="G50" s="11">
        <f t="shared" si="2"/>
        <v>-2.0602254465693416E-3</v>
      </c>
      <c r="H50" s="17">
        <f t="shared" si="4"/>
        <v>-2.9388541833996191E-3</v>
      </c>
      <c r="M50" s="18" t="s">
        <v>352</v>
      </c>
      <c r="N50" s="18"/>
      <c r="O50" s="18"/>
      <c r="P50" s="18"/>
      <c r="Q50" s="18"/>
      <c r="R50" s="18"/>
      <c r="S50" s="18"/>
      <c r="T50" s="18"/>
      <c r="U50" s="18"/>
      <c r="V50" s="18"/>
    </row>
    <row r="51" spans="1:22" x14ac:dyDescent="0.25">
      <c r="A51" s="1" t="s">
        <v>32</v>
      </c>
      <c r="B51" s="1">
        <v>42.62</v>
      </c>
      <c r="C51" s="6">
        <f t="shared" si="1"/>
        <v>5.6630486078337629E-3</v>
      </c>
      <c r="D51" s="6">
        <f t="shared" si="0"/>
        <v>5.6470738303179176E-3</v>
      </c>
      <c r="E51" s="14">
        <f t="shared" si="3"/>
        <v>42.118000000000002</v>
      </c>
      <c r="G51" s="11">
        <f t="shared" si="2"/>
        <v>-1.4469956988871096E-3</v>
      </c>
      <c r="H51" s="17">
        <f t="shared" si="4"/>
        <v>-3.6307577928435778E-4</v>
      </c>
    </row>
    <row r="52" spans="1:22" x14ac:dyDescent="0.25">
      <c r="A52" s="2">
        <v>43106</v>
      </c>
      <c r="B52" s="1">
        <v>43.07</v>
      </c>
      <c r="C52" s="6">
        <f t="shared" si="1"/>
        <v>1.0558423275457599E-2</v>
      </c>
      <c r="D52" s="6">
        <f t="shared" si="0"/>
        <v>1.0503072395548239E-2</v>
      </c>
      <c r="E52" s="14">
        <f t="shared" si="3"/>
        <v>42.185600000000001</v>
      </c>
      <c r="G52" s="11">
        <f t="shared" si="2"/>
        <v>1.6011610699448826E-3</v>
      </c>
      <c r="H52" s="17">
        <f t="shared" si="4"/>
        <v>2.8967686731654211E-3</v>
      </c>
    </row>
    <row r="53" spans="1:22" x14ac:dyDescent="0.25">
      <c r="A53" s="2">
        <v>43196</v>
      </c>
      <c r="B53" s="1">
        <v>43.91</v>
      </c>
      <c r="C53" s="6">
        <f t="shared" si="1"/>
        <v>1.9503134432319394E-2</v>
      </c>
      <c r="D53" s="6">
        <f t="shared" si="0"/>
        <v>1.9315385507606714E-2</v>
      </c>
      <c r="E53" s="14">
        <f t="shared" si="3"/>
        <v>42.2468</v>
      </c>
      <c r="G53" s="11">
        <f t="shared" si="2"/>
        <v>1.4186212693389105E-3</v>
      </c>
      <c r="H53" s="17">
        <f t="shared" si="4"/>
        <v>7.8223537234978092E-3</v>
      </c>
    </row>
    <row r="54" spans="1:22" x14ac:dyDescent="0.25">
      <c r="A54" s="2">
        <v>43226</v>
      </c>
      <c r="B54" s="1">
        <v>43.24</v>
      </c>
      <c r="C54" s="6">
        <f t="shared" si="1"/>
        <v>-1.5258483261216002E-2</v>
      </c>
      <c r="D54" s="6">
        <f t="shared" si="0"/>
        <v>-1.5376091802618461E-2</v>
      </c>
      <c r="E54" s="14">
        <f t="shared" si="3"/>
        <v>42.299599999999998</v>
      </c>
      <c r="G54" s="11">
        <f t="shared" si="2"/>
        <v>1.2401181103288241E-3</v>
      </c>
      <c r="H54" s="17">
        <f t="shared" si="4"/>
        <v>8.6282006566292847E-4</v>
      </c>
    </row>
    <row r="55" spans="1:22" x14ac:dyDescent="0.25">
      <c r="A55" s="2">
        <v>43257</v>
      </c>
      <c r="B55" s="1">
        <v>43.25</v>
      </c>
      <c r="C55" s="6">
        <f t="shared" si="1"/>
        <v>2.312673450508328E-4</v>
      </c>
      <c r="D55" s="6">
        <f t="shared" si="0"/>
        <v>2.3124060688077709E-4</v>
      </c>
      <c r="E55" s="14">
        <f t="shared" si="3"/>
        <v>42.336000000000006</v>
      </c>
      <c r="G55" s="11">
        <f t="shared" si="2"/>
        <v>8.5059870684676216E-4</v>
      </c>
      <c r="H55" s="17">
        <f t="shared" si="4"/>
        <v>6.7334622802828301E-4</v>
      </c>
    </row>
    <row r="56" spans="1:22" x14ac:dyDescent="0.25">
      <c r="A56" s="2">
        <v>43287</v>
      </c>
      <c r="B56" s="1">
        <v>42.91</v>
      </c>
      <c r="C56" s="6">
        <f t="shared" si="1"/>
        <v>-7.8612716763006574E-3</v>
      </c>
      <c r="D56" s="6">
        <f t="shared" si="0"/>
        <v>-7.8923343744550997E-3</v>
      </c>
      <c r="E56" s="14">
        <f t="shared" si="3"/>
        <v>42.4024</v>
      </c>
      <c r="G56" s="11">
        <f t="shared" si="2"/>
        <v>1.5781514489097231E-3</v>
      </c>
      <c r="H56" s="17">
        <f t="shared" si="4"/>
        <v>-1.8963579527167319E-3</v>
      </c>
    </row>
    <row r="57" spans="1:22" x14ac:dyDescent="0.25">
      <c r="A57" s="2">
        <v>43318</v>
      </c>
      <c r="B57" s="1">
        <v>42.2</v>
      </c>
      <c r="C57" s="6">
        <f t="shared" si="1"/>
        <v>-1.6546259613143644E-2</v>
      </c>
      <c r="D57" s="6">
        <f t="shared" si="0"/>
        <v>-1.6684677961467023E-2</v>
      </c>
      <c r="E57" s="14">
        <f t="shared" si="3"/>
        <v>42.445599999999992</v>
      </c>
      <c r="G57" s="11">
        <f t="shared" si="2"/>
        <v>1.0370239958022594E-3</v>
      </c>
      <c r="H57" s="17">
        <f t="shared" si="4"/>
        <v>-6.3328539553418189E-3</v>
      </c>
    </row>
    <row r="58" spans="1:22" x14ac:dyDescent="0.25">
      <c r="A58" s="2">
        <v>43410</v>
      </c>
      <c r="B58" s="1">
        <v>43.22</v>
      </c>
      <c r="C58" s="6">
        <f t="shared" si="1"/>
        <v>2.4170616113743978E-2</v>
      </c>
      <c r="D58" s="6">
        <f t="shared" si="0"/>
        <v>2.3883130036773767E-2</v>
      </c>
      <c r="E58" s="14">
        <f t="shared" si="3"/>
        <v>42.500399999999999</v>
      </c>
      <c r="G58" s="11">
        <f t="shared" si="2"/>
        <v>1.2884621657302171E-3</v>
      </c>
      <c r="H58" s="17">
        <f t="shared" si="4"/>
        <v>2.7319412422928567E-3</v>
      </c>
    </row>
    <row r="59" spans="1:22" x14ac:dyDescent="0.25">
      <c r="A59" s="2">
        <v>43440</v>
      </c>
      <c r="B59" s="1">
        <v>42.49</v>
      </c>
      <c r="C59" s="6">
        <f t="shared" si="1"/>
        <v>-1.6890328551596411E-2</v>
      </c>
      <c r="D59" s="6">
        <f t="shared" si="0"/>
        <v>-1.7034596952019677E-2</v>
      </c>
      <c r="E59" s="14">
        <f t="shared" si="3"/>
        <v>42.538400000000003</v>
      </c>
      <c r="G59" s="11">
        <f t="shared" si="2"/>
        <v>9.0447742715015346E-4</v>
      </c>
      <c r="H59" s="17">
        <f t="shared" si="4"/>
        <v>-3.198020216000904E-3</v>
      </c>
    </row>
    <row r="60" spans="1:22" x14ac:dyDescent="0.25">
      <c r="A60" s="1" t="s">
        <v>33</v>
      </c>
      <c r="B60" s="1">
        <v>42.01</v>
      </c>
      <c r="C60" s="6">
        <f t="shared" si="1"/>
        <v>-1.1296775711932312E-2</v>
      </c>
      <c r="D60" s="6">
        <f t="shared" si="0"/>
        <v>-1.1361068945429615E-2</v>
      </c>
      <c r="E60" s="14">
        <f t="shared" si="3"/>
        <v>42.535200000000003</v>
      </c>
      <c r="G60" s="11">
        <f t="shared" si="2"/>
        <v>-7.609990404755324E-5</v>
      </c>
      <c r="H60" s="17">
        <f t="shared" si="4"/>
        <v>-5.6469348348295173E-3</v>
      </c>
    </row>
    <row r="61" spans="1:22" x14ac:dyDescent="0.25">
      <c r="A61" s="1" t="s">
        <v>34</v>
      </c>
      <c r="B61" s="1">
        <v>42.17</v>
      </c>
      <c r="C61" s="6">
        <f t="shared" si="1"/>
        <v>3.8086169959534325E-3</v>
      </c>
      <c r="D61" s="6">
        <f t="shared" si="0"/>
        <v>3.8013825771779277E-3</v>
      </c>
      <c r="E61" s="14">
        <f t="shared" si="3"/>
        <v>42.597200000000001</v>
      </c>
      <c r="G61" s="11">
        <f t="shared" si="2"/>
        <v>1.4979404642491965E-3</v>
      </c>
      <c r="H61" s="17">
        <f t="shared" si="4"/>
        <v>-2.812439611227284E-3</v>
      </c>
    </row>
    <row r="62" spans="1:22" x14ac:dyDescent="0.25">
      <c r="A62" s="1" t="s">
        <v>35</v>
      </c>
      <c r="B62" s="1">
        <v>41.86</v>
      </c>
      <c r="C62" s="6">
        <f t="shared" si="1"/>
        <v>-7.3511975337918487E-3</v>
      </c>
      <c r="D62" s="6">
        <f t="shared" si="0"/>
        <v>-7.3783507406148998E-3</v>
      </c>
      <c r="E62" s="14">
        <f t="shared" si="3"/>
        <v>42.625600000000006</v>
      </c>
      <c r="G62" s="11">
        <f t="shared" si="2"/>
        <v>6.8427159579099344E-4</v>
      </c>
      <c r="H62" s="17">
        <f t="shared" si="4"/>
        <v>-4.1822129500435684E-3</v>
      </c>
    </row>
    <row r="63" spans="1:22" x14ac:dyDescent="0.25">
      <c r="A63" s="1" t="s">
        <v>36</v>
      </c>
      <c r="B63" s="1">
        <v>41.54</v>
      </c>
      <c r="C63" s="6">
        <f t="shared" si="1"/>
        <v>-7.644529383659825E-3</v>
      </c>
      <c r="D63" s="6">
        <f t="shared" si="0"/>
        <v>-7.6738985698873892E-3</v>
      </c>
      <c r="E63" s="14">
        <f t="shared" si="3"/>
        <v>42.619199999999999</v>
      </c>
      <c r="G63" s="11">
        <f t="shared" si="2"/>
        <v>-1.5377241427158572E-4</v>
      </c>
      <c r="H63" s="17">
        <f t="shared" si="4"/>
        <v>-5.2297186359967149E-3</v>
      </c>
    </row>
    <row r="64" spans="1:22" x14ac:dyDescent="0.25">
      <c r="A64" s="1" t="s">
        <v>37</v>
      </c>
      <c r="B64" s="1">
        <v>40.630000000000003</v>
      </c>
      <c r="C64" s="6">
        <f t="shared" si="1"/>
        <v>-2.1906596051997993E-2</v>
      </c>
      <c r="D64" s="6">
        <f t="shared" si="0"/>
        <v>-2.2150108448330753E-2</v>
      </c>
      <c r="E64" s="14">
        <f t="shared" si="3"/>
        <v>42.582000000000001</v>
      </c>
      <c r="G64" s="11">
        <f t="shared" si="2"/>
        <v>-9.0525824925564784E-4</v>
      </c>
      <c r="H64" s="17">
        <f t="shared" si="4"/>
        <v>-1.0305835579696925E-2</v>
      </c>
    </row>
    <row r="65" spans="1:8" x14ac:dyDescent="0.25">
      <c r="A65" s="1" t="s">
        <v>38</v>
      </c>
      <c r="B65" s="1">
        <v>41.14</v>
      </c>
      <c r="C65" s="6">
        <f t="shared" si="1"/>
        <v>1.2552301255230075E-2</v>
      </c>
      <c r="D65" s="6">
        <f t="shared" si="0"/>
        <v>1.2474174225175598E-2</v>
      </c>
      <c r="E65" s="14">
        <f t="shared" si="3"/>
        <v>42.5364</v>
      </c>
      <c r="G65" s="11">
        <f t="shared" si="2"/>
        <v>-1.0933310710890313E-3</v>
      </c>
      <c r="H65" s="17">
        <f t="shared" si="4"/>
        <v>-3.4718326382351681E-3</v>
      </c>
    </row>
    <row r="66" spans="1:8" x14ac:dyDescent="0.25">
      <c r="A66" s="1" t="s">
        <v>39</v>
      </c>
      <c r="B66" s="1">
        <v>40.61</v>
      </c>
      <c r="C66" s="6">
        <f t="shared" si="1"/>
        <v>-1.2882839086047669E-2</v>
      </c>
      <c r="D66" s="6">
        <f t="shared" si="0"/>
        <v>-1.296654252660475E-2</v>
      </c>
      <c r="E66" s="14">
        <f t="shared" si="3"/>
        <v>42.435599999999994</v>
      </c>
      <c r="G66" s="11">
        <f t="shared" si="2"/>
        <v>-2.4081787584618202E-3</v>
      </c>
      <c r="H66" s="17">
        <f t="shared" si="4"/>
        <v>-6.3202456047460418E-3</v>
      </c>
    </row>
    <row r="67" spans="1:8" x14ac:dyDescent="0.25">
      <c r="A67" s="1" t="s">
        <v>40</v>
      </c>
      <c r="B67" s="1">
        <v>40.47</v>
      </c>
      <c r="C67" s="6">
        <f t="shared" si="1"/>
        <v>-3.4474267421817427E-3</v>
      </c>
      <c r="D67" s="6">
        <f t="shared" si="0"/>
        <v>-3.4533828104322808E-3</v>
      </c>
      <c r="E67" s="14">
        <f t="shared" si="3"/>
        <v>42.345999999999997</v>
      </c>
      <c r="G67" s="11">
        <f t="shared" si="2"/>
        <v>-2.1548850386240437E-3</v>
      </c>
      <c r="H67" s="17">
        <f t="shared" si="4"/>
        <v>-5.4601867664519129E-3</v>
      </c>
    </row>
    <row r="68" spans="1:8" x14ac:dyDescent="0.25">
      <c r="A68" s="1" t="s">
        <v>41</v>
      </c>
      <c r="B68" s="1">
        <v>38.840000000000003</v>
      </c>
      <c r="C68" s="6">
        <f t="shared" si="1"/>
        <v>-4.0276748208549429E-2</v>
      </c>
      <c r="D68" s="6">
        <f t="shared" si="0"/>
        <v>-4.1110315464649924E-2</v>
      </c>
      <c r="E68" s="14">
        <f t="shared" si="3"/>
        <v>42.2012</v>
      </c>
      <c r="G68" s="11">
        <f t="shared" si="2"/>
        <v>-3.5644725140794374E-3</v>
      </c>
      <c r="H68" s="17">
        <f t="shared" si="4"/>
        <v>-1.6155225375911315E-2</v>
      </c>
    </row>
    <row r="69" spans="1:8" x14ac:dyDescent="0.25">
      <c r="A69" s="1" t="s">
        <v>42</v>
      </c>
      <c r="B69" s="1">
        <v>38.26</v>
      </c>
      <c r="C69" s="6">
        <f t="shared" si="1"/>
        <v>-1.4933058702368831E-2</v>
      </c>
      <c r="D69" s="6">
        <f t="shared" ref="D69:D132" si="5">LN(B69/B68)</f>
        <v>-1.5045679411017483E-2</v>
      </c>
      <c r="E69" s="14">
        <f t="shared" si="3"/>
        <v>41.998000000000005</v>
      </c>
      <c r="G69" s="11">
        <f t="shared" si="2"/>
        <v>-4.9868412838442577E-3</v>
      </c>
      <c r="H69" s="17">
        <f t="shared" si="4"/>
        <v>-1.5822361586443165E-2</v>
      </c>
    </row>
    <row r="70" spans="1:8" x14ac:dyDescent="0.25">
      <c r="A70" s="1" t="s">
        <v>43</v>
      </c>
      <c r="B70" s="1">
        <v>37.450000000000003</v>
      </c>
      <c r="C70" s="6">
        <f t="shared" ref="C70:C133" si="6">(B70-B69)/B69</f>
        <v>-2.1170935703084037E-2</v>
      </c>
      <c r="D70" s="6">
        <f t="shared" si="5"/>
        <v>-2.1398254048878206E-2</v>
      </c>
      <c r="E70" s="14">
        <f t="shared" si="3"/>
        <v>41.8172</v>
      </c>
      <c r="G70" s="11">
        <f t="shared" si="2"/>
        <v>-4.5579346952908427E-3</v>
      </c>
      <c r="H70" s="17">
        <f t="shared" si="4"/>
        <v>-1.7495129325173678E-2</v>
      </c>
    </row>
    <row r="71" spans="1:8" x14ac:dyDescent="0.25">
      <c r="A71" s="1" t="s">
        <v>44</v>
      </c>
      <c r="B71" s="1">
        <v>37.39</v>
      </c>
      <c r="C71" s="6">
        <f t="shared" si="6"/>
        <v>-1.6021361815754945E-3</v>
      </c>
      <c r="D71" s="6">
        <f t="shared" si="5"/>
        <v>-1.6034209742061536E-3</v>
      </c>
      <c r="E71" s="14">
        <f t="shared" si="3"/>
        <v>41.6372</v>
      </c>
      <c r="G71" s="11">
        <f t="shared" si="2"/>
        <v>-4.5457538387968502E-3</v>
      </c>
      <c r="H71" s="17">
        <f t="shared" si="4"/>
        <v>-1.2727616819883419E-2</v>
      </c>
    </row>
    <row r="72" spans="1:8" x14ac:dyDescent="0.25">
      <c r="A72" s="1" t="s">
        <v>45</v>
      </c>
      <c r="B72" s="1">
        <v>37.159999999999997</v>
      </c>
      <c r="C72" s="6">
        <f t="shared" si="6"/>
        <v>-6.1513773736294186E-3</v>
      </c>
      <c r="D72" s="6">
        <f t="shared" si="5"/>
        <v>-6.1703750433847451E-3</v>
      </c>
      <c r="E72" s="14">
        <f t="shared" si="3"/>
        <v>41.417999999999999</v>
      </c>
      <c r="G72" s="11">
        <f t="shared" si="2"/>
        <v>-5.5023946364780611E-3</v>
      </c>
      <c r="H72" s="17">
        <f t="shared" si="4"/>
        <v>-1.0760444286933816E-2</v>
      </c>
    </row>
    <row r="73" spans="1:8" x14ac:dyDescent="0.25">
      <c r="A73" s="2">
        <v>43138</v>
      </c>
      <c r="B73" s="1">
        <v>37.549999999999997</v>
      </c>
      <c r="C73" s="6">
        <f t="shared" si="6"/>
        <v>1.0495156081808413E-2</v>
      </c>
      <c r="D73" s="6">
        <f t="shared" si="5"/>
        <v>1.0440464264506096E-2</v>
      </c>
      <c r="E73" s="14">
        <f t="shared" si="3"/>
        <v>41.1616</v>
      </c>
      <c r="G73" s="11">
        <f t="shared" si="2"/>
        <v>-6.3042700530110815E-3</v>
      </c>
      <c r="H73" s="17">
        <f t="shared" si="4"/>
        <v>-4.4001717215018422E-3</v>
      </c>
    </row>
    <row r="74" spans="1:8" x14ac:dyDescent="0.25">
      <c r="A74" s="2">
        <v>43166</v>
      </c>
      <c r="B74" s="1">
        <v>36.950000000000003</v>
      </c>
      <c r="C74" s="6">
        <f t="shared" si="6"/>
        <v>-1.5978695073235537E-2</v>
      </c>
      <c r="D74" s="6">
        <f t="shared" si="5"/>
        <v>-1.6107730815932853E-2</v>
      </c>
      <c r="E74" s="14">
        <f t="shared" si="3"/>
        <v>40.9328</v>
      </c>
      <c r="G74" s="11">
        <f t="shared" si="2"/>
        <v>-5.7572179922279164E-3</v>
      </c>
      <c r="H74" s="17">
        <f t="shared" si="4"/>
        <v>-7.9124394498311448E-3</v>
      </c>
    </row>
    <row r="75" spans="1:8" x14ac:dyDescent="0.25">
      <c r="A75" s="2">
        <v>43227</v>
      </c>
      <c r="B75" s="1">
        <v>37.19</v>
      </c>
      <c r="C75" s="6">
        <f t="shared" si="6"/>
        <v>6.4952638700945834E-3</v>
      </c>
      <c r="D75" s="6">
        <f t="shared" si="5"/>
        <v>6.4742605427677543E-3</v>
      </c>
      <c r="E75" s="14">
        <f t="shared" si="3"/>
        <v>40.725199999999994</v>
      </c>
      <c r="G75" s="11">
        <f t="shared" si="2"/>
        <v>-5.2254657961269815E-3</v>
      </c>
      <c r="H75" s="17">
        <f t="shared" si="4"/>
        <v>-3.5964294520514752E-3</v>
      </c>
    </row>
    <row r="76" spans="1:8" x14ac:dyDescent="0.25">
      <c r="A76" s="2">
        <v>43258</v>
      </c>
      <c r="B76" s="1">
        <v>37.28</v>
      </c>
      <c r="C76" s="6">
        <f t="shared" si="6"/>
        <v>2.4200053777898201E-3</v>
      </c>
      <c r="D76" s="6">
        <f t="shared" si="5"/>
        <v>2.4170818804118885E-3</v>
      </c>
      <c r="E76" s="14">
        <f t="shared" si="3"/>
        <v>40.511600000000001</v>
      </c>
      <c r="G76" s="11">
        <f t="shared" si="2"/>
        <v>-5.3546654741232222E-3</v>
      </c>
      <c r="H76" s="17">
        <f t="shared" si="4"/>
        <v>-1.792376052312466E-3</v>
      </c>
    </row>
    <row r="77" spans="1:8" x14ac:dyDescent="0.25">
      <c r="A77" s="2">
        <v>43350</v>
      </c>
      <c r="B77" s="1">
        <v>38.479999999999997</v>
      </c>
      <c r="C77" s="6">
        <f t="shared" si="6"/>
        <v>3.2188841201716625E-2</v>
      </c>
      <c r="D77" s="6">
        <f t="shared" si="5"/>
        <v>3.1681635980115183E-2</v>
      </c>
      <c r="E77" s="14">
        <f t="shared" si="3"/>
        <v>40.328000000000003</v>
      </c>
      <c r="G77" s="11">
        <f t="shared" si="2"/>
        <v>-4.5075229307405444E-3</v>
      </c>
      <c r="H77" s="17">
        <f t="shared" si="4"/>
        <v>8.2498275574158283E-3</v>
      </c>
    </row>
    <row r="78" spans="1:8" x14ac:dyDescent="0.25">
      <c r="A78" s="2">
        <v>43380</v>
      </c>
      <c r="B78" s="1">
        <v>38.29</v>
      </c>
      <c r="C78" s="6">
        <f t="shared" si="6"/>
        <v>-4.9376299376298789E-3</v>
      </c>
      <c r="D78" s="6">
        <f t="shared" si="5"/>
        <v>-4.9498603083025774E-3</v>
      </c>
      <c r="E78" s="14">
        <f t="shared" si="3"/>
        <v>40.103199999999994</v>
      </c>
      <c r="G78" s="11">
        <f t="shared" si="2"/>
        <v>-5.4781327633769174E-3</v>
      </c>
      <c r="H78" s="17">
        <f t="shared" si="4"/>
        <v>4.2899211977003061E-3</v>
      </c>
    </row>
    <row r="79" spans="1:8" x14ac:dyDescent="0.25">
      <c r="A79" s="2">
        <v>43411</v>
      </c>
      <c r="B79" s="1">
        <v>35.200000000000003</v>
      </c>
      <c r="C79" s="6">
        <f t="shared" si="6"/>
        <v>-8.0699921650561404E-2</v>
      </c>
      <c r="D79" s="6">
        <f t="shared" si="5"/>
        <v>-8.4142682885151615E-2</v>
      </c>
      <c r="E79" s="14">
        <f t="shared" si="3"/>
        <v>39.781600000000005</v>
      </c>
      <c r="G79" s="11">
        <f t="shared" si="2"/>
        <v>-8.2287964066782432E-3</v>
      </c>
      <c r="H79" s="17">
        <f t="shared" si="4"/>
        <v>-2.2239860027155268E-2</v>
      </c>
    </row>
    <row r="80" spans="1:8" x14ac:dyDescent="0.25">
      <c r="A80" s="2">
        <v>43441</v>
      </c>
      <c r="B80" s="1">
        <v>35.56</v>
      </c>
      <c r="C80" s="6">
        <f t="shared" si="6"/>
        <v>1.022727272727271E-2</v>
      </c>
      <c r="D80" s="6">
        <f t="shared" si="5"/>
        <v>1.0175328041652446E-2</v>
      </c>
      <c r="E80" s="14">
        <f t="shared" si="3"/>
        <v>39.473999999999997</v>
      </c>
      <c r="G80" s="11">
        <f t="shared" si="2"/>
        <v>-7.8310329092873762E-3</v>
      </c>
      <c r="H80" s="17">
        <f t="shared" si="4"/>
        <v>-1.2515303606512953E-2</v>
      </c>
    </row>
    <row r="81" spans="1:8" x14ac:dyDescent="0.25">
      <c r="A81" s="1" t="s">
        <v>46</v>
      </c>
      <c r="B81" s="1">
        <v>36.33</v>
      </c>
      <c r="C81" s="6">
        <f t="shared" si="6"/>
        <v>2.1653543307086499E-2</v>
      </c>
      <c r="D81" s="6">
        <f t="shared" si="5"/>
        <v>2.142243558740671E-2</v>
      </c>
      <c r="E81" s="14">
        <f t="shared" si="3"/>
        <v>39.210800000000006</v>
      </c>
      <c r="G81" s="11">
        <f t="shared" si="2"/>
        <v>-6.6584421108129037E-3</v>
      </c>
      <c r="H81" s="17">
        <f t="shared" si="4"/>
        <v>-2.333981848337054E-3</v>
      </c>
    </row>
    <row r="82" spans="1:8" x14ac:dyDescent="0.25">
      <c r="A82" s="1" t="s">
        <v>47</v>
      </c>
      <c r="B82" s="1">
        <v>36.49</v>
      </c>
      <c r="C82" s="6">
        <f t="shared" si="6"/>
        <v>4.4040737682357195E-3</v>
      </c>
      <c r="D82" s="6">
        <f t="shared" si="5"/>
        <v>4.3944042152458968E-3</v>
      </c>
      <c r="E82" s="14">
        <f t="shared" si="3"/>
        <v>38.982400000000005</v>
      </c>
      <c r="G82" s="11">
        <f t="shared" si="2"/>
        <v>-5.8152788237443879E-3</v>
      </c>
      <c r="H82" s="17">
        <f t="shared" si="4"/>
        <v>-3.1546602926216857E-4</v>
      </c>
    </row>
    <row r="83" spans="1:8" x14ac:dyDescent="0.25">
      <c r="A83" s="1" t="s">
        <v>48</v>
      </c>
      <c r="B83" s="1">
        <v>36.590000000000003</v>
      </c>
      <c r="C83" s="6">
        <f t="shared" si="6"/>
        <v>2.7404768429707157E-3</v>
      </c>
      <c r="D83" s="6">
        <f t="shared" si="5"/>
        <v>2.7367285827591208E-3</v>
      </c>
      <c r="E83" s="14">
        <f t="shared" si="3"/>
        <v>38.717200000000005</v>
      </c>
      <c r="G83" s="11">
        <f t="shared" si="2"/>
        <v>-6.6611348819049744E-3</v>
      </c>
      <c r="H83" s="17">
        <f t="shared" si="4"/>
        <v>6.0019235434421829E-4</v>
      </c>
    </row>
    <row r="84" spans="1:8" x14ac:dyDescent="0.25">
      <c r="A84" s="1" t="s">
        <v>49</v>
      </c>
      <c r="B84" s="1">
        <v>37.56</v>
      </c>
      <c r="C84" s="6">
        <f t="shared" si="6"/>
        <v>2.650997540311557E-2</v>
      </c>
      <c r="D84" s="6">
        <f t="shared" si="5"/>
        <v>2.6164675308946617E-2</v>
      </c>
      <c r="E84" s="14">
        <f t="shared" si="3"/>
        <v>38.520000000000003</v>
      </c>
      <c r="G84" s="11">
        <f t="shared" si="2"/>
        <v>-4.9331639914663213E-3</v>
      </c>
      <c r="H84" s="17">
        <f t="shared" si="4"/>
        <v>8.2695372407249387E-3</v>
      </c>
    </row>
    <row r="85" spans="1:8" x14ac:dyDescent="0.25">
      <c r="A85" s="1" t="s">
        <v>50</v>
      </c>
      <c r="B85" s="1">
        <v>37.32</v>
      </c>
      <c r="C85" s="6">
        <f t="shared" si="6"/>
        <v>-6.3897763578275287E-3</v>
      </c>
      <c r="D85" s="6">
        <f t="shared" si="5"/>
        <v>-6.4102783609191662E-3</v>
      </c>
      <c r="E85" s="14">
        <f t="shared" si="3"/>
        <v>38.3324</v>
      </c>
      <c r="G85" s="11">
        <f t="shared" si="2"/>
        <v>-4.7351323680859042E-3</v>
      </c>
      <c r="H85" s="17">
        <f t="shared" si="4"/>
        <v>3.8655925602317075E-3</v>
      </c>
    </row>
    <row r="86" spans="1:8" x14ac:dyDescent="0.25">
      <c r="A86" s="1" t="s">
        <v>51</v>
      </c>
      <c r="B86" s="1">
        <v>37.08</v>
      </c>
      <c r="C86" s="6">
        <f t="shared" si="6"/>
        <v>-6.4308681672026252E-3</v>
      </c>
      <c r="D86" s="6">
        <f t="shared" si="5"/>
        <v>-6.4516352814887193E-3</v>
      </c>
      <c r="E86" s="14">
        <f t="shared" si="3"/>
        <v>38.128799999999998</v>
      </c>
      <c r="G86" s="11">
        <f t="shared" si="2"/>
        <v>-5.1452530824325701E-3</v>
      </c>
      <c r="H86" s="17">
        <f t="shared" si="4"/>
        <v>7.7042420771557935E-4</v>
      </c>
    </row>
    <row r="87" spans="1:8" x14ac:dyDescent="0.25">
      <c r="A87" s="1" t="s">
        <v>52</v>
      </c>
      <c r="B87" s="1">
        <v>37.229999999999997</v>
      </c>
      <c r="C87" s="6">
        <f t="shared" si="6"/>
        <v>4.0453074433656573E-3</v>
      </c>
      <c r="D87" s="6">
        <f t="shared" si="5"/>
        <v>4.037147186971163E-3</v>
      </c>
      <c r="E87" s="14">
        <f t="shared" si="3"/>
        <v>37.943600000000004</v>
      </c>
      <c r="G87" s="11">
        <f t="shared" si="2"/>
        <v>-4.6886331653291265E-3</v>
      </c>
      <c r="H87" s="17">
        <f t="shared" si="4"/>
        <v>1.7504411014922544E-3</v>
      </c>
    </row>
    <row r="88" spans="1:8" x14ac:dyDescent="0.25">
      <c r="A88" s="1" t="s">
        <v>53</v>
      </c>
      <c r="B88" s="1">
        <v>36.659999999999997</v>
      </c>
      <c r="C88" s="6">
        <f t="shared" si="6"/>
        <v>-1.5310233682514111E-2</v>
      </c>
      <c r="D88" s="6">
        <f t="shared" si="5"/>
        <v>-1.5428645473066639E-2</v>
      </c>
      <c r="E88" s="14">
        <f t="shared" si="3"/>
        <v>37.748400000000004</v>
      </c>
      <c r="G88" s="11">
        <f t="shared" si="2"/>
        <v>-4.9988230414562971E-3</v>
      </c>
      <c r="H88" s="17">
        <f t="shared" si="4"/>
        <v>-3.4032848708754134E-3</v>
      </c>
    </row>
    <row r="89" spans="1:8" x14ac:dyDescent="0.25">
      <c r="A89" s="1" t="s">
        <v>54</v>
      </c>
      <c r="B89" s="1">
        <v>37.380000000000003</v>
      </c>
      <c r="C89" s="6">
        <f t="shared" si="6"/>
        <v>1.9639934533551718E-2</v>
      </c>
      <c r="D89" s="6">
        <f t="shared" si="5"/>
        <v>1.944955961585788E-2</v>
      </c>
      <c r="E89" s="14">
        <f t="shared" si="3"/>
        <v>37.618400000000001</v>
      </c>
      <c r="G89" s="11">
        <f t="shared" si="2"/>
        <v>-3.3348363188887504E-3</v>
      </c>
      <c r="H89" s="17">
        <f t="shared" si="4"/>
        <v>3.4525684751445752E-3</v>
      </c>
    </row>
    <row r="90" spans="1:8" x14ac:dyDescent="0.25">
      <c r="A90" s="1" t="s">
        <v>55</v>
      </c>
      <c r="B90" s="1">
        <v>39.17</v>
      </c>
      <c r="C90" s="6">
        <f t="shared" si="6"/>
        <v>4.7886570358480443E-2</v>
      </c>
      <c r="D90" s="6">
        <f t="shared" si="5"/>
        <v>4.6775345650323229E-2</v>
      </c>
      <c r="E90" s="14">
        <f t="shared" si="3"/>
        <v>37.539600000000007</v>
      </c>
      <c r="G90" s="11">
        <f t="shared" si="2"/>
        <v>-1.9627894618828453E-3</v>
      </c>
      <c r="H90" s="17">
        <f t="shared" si="4"/>
        <v>1.644940162769817E-2</v>
      </c>
    </row>
    <row r="91" spans="1:8" x14ac:dyDescent="0.25">
      <c r="A91" s="1" t="s">
        <v>56</v>
      </c>
      <c r="B91" s="1">
        <v>38.85</v>
      </c>
      <c r="C91" s="6">
        <f t="shared" si="6"/>
        <v>-8.16951748787338E-3</v>
      </c>
      <c r="D91" s="6">
        <f t="shared" si="5"/>
        <v>-8.2030708640835406E-3</v>
      </c>
      <c r="E91" s="14">
        <f t="shared" si="3"/>
        <v>37.469200000000001</v>
      </c>
      <c r="G91" s="11">
        <f t="shared" si="2"/>
        <v>-1.7722505953819967E-3</v>
      </c>
      <c r="H91" s="17">
        <f t="shared" si="4"/>
        <v>9.0536598801636559E-3</v>
      </c>
    </row>
    <row r="92" spans="1:8" x14ac:dyDescent="0.25">
      <c r="A92" s="1" t="s">
        <v>57</v>
      </c>
      <c r="B92" s="1">
        <v>38.14</v>
      </c>
      <c r="C92" s="6">
        <f t="shared" si="6"/>
        <v>-1.8275418275418297E-2</v>
      </c>
      <c r="D92" s="6">
        <f t="shared" si="5"/>
        <v>-1.8444476641383507E-2</v>
      </c>
      <c r="E92" s="14">
        <f t="shared" si="3"/>
        <v>37.375999999999998</v>
      </c>
      <c r="G92" s="11">
        <f t="shared" ref="G92:G155" si="7">SUM(D68:D92)/25</f>
        <v>-2.3718943486200454E-3</v>
      </c>
      <c r="H92" s="17">
        <f t="shared" si="4"/>
        <v>8.0421892369950641E-4</v>
      </c>
    </row>
    <row r="93" spans="1:8" x14ac:dyDescent="0.25">
      <c r="A93" s="1" t="s">
        <v>58</v>
      </c>
      <c r="B93" s="1">
        <v>38.700000000000003</v>
      </c>
      <c r="C93" s="6">
        <f t="shared" si="6"/>
        <v>1.4682747771368701E-2</v>
      </c>
      <c r="D93" s="6">
        <f t="shared" si="5"/>
        <v>1.457599986346316E-2</v>
      </c>
      <c r="E93" s="14">
        <f t="shared" ref="E93:E156" si="8">SUM(B69:B93)/25</f>
        <v>37.370400000000004</v>
      </c>
      <c r="G93" s="11">
        <f t="shared" si="7"/>
        <v>-1.4444173549552235E-4</v>
      </c>
      <c r="H93" s="17">
        <f t="shared" ref="H93:H156" si="9">D93*$N$19+(1-$N$19)*H92</f>
        <v>4.935753205628602E-3</v>
      </c>
    </row>
    <row r="94" spans="1:8" x14ac:dyDescent="0.25">
      <c r="A94" s="2">
        <v>43108</v>
      </c>
      <c r="B94" s="1">
        <v>37.33</v>
      </c>
      <c r="C94" s="6">
        <f t="shared" si="6"/>
        <v>-3.5400516795865748E-2</v>
      </c>
      <c r="D94" s="6">
        <f t="shared" si="5"/>
        <v>-3.6042307109243776E-2</v>
      </c>
      <c r="E94" s="14">
        <f t="shared" si="8"/>
        <v>37.333200000000005</v>
      </c>
      <c r="G94" s="11">
        <f t="shared" si="7"/>
        <v>-9.8430684342457487E-4</v>
      </c>
      <c r="H94" s="17">
        <f t="shared" si="9"/>
        <v>-7.357664888833112E-3</v>
      </c>
    </row>
    <row r="95" spans="1:8" x14ac:dyDescent="0.25">
      <c r="A95" s="2">
        <v>43139</v>
      </c>
      <c r="B95" s="1">
        <v>37.130000000000003</v>
      </c>
      <c r="C95" s="6">
        <f t="shared" si="6"/>
        <v>-5.357621216179902E-3</v>
      </c>
      <c r="D95" s="6">
        <f t="shared" si="5"/>
        <v>-5.3720247375036298E-3</v>
      </c>
      <c r="E95" s="14">
        <f t="shared" si="8"/>
        <v>37.320400000000006</v>
      </c>
      <c r="G95" s="11">
        <f t="shared" si="7"/>
        <v>-3.4325767096959171E-4</v>
      </c>
      <c r="H95" s="17">
        <f t="shared" si="9"/>
        <v>-6.7619728434342666E-3</v>
      </c>
    </row>
    <row r="96" spans="1:8" x14ac:dyDescent="0.25">
      <c r="A96" s="2">
        <v>43167</v>
      </c>
      <c r="B96" s="1">
        <v>37.61</v>
      </c>
      <c r="C96" s="6">
        <f t="shared" si="6"/>
        <v>1.2927551844869293E-2</v>
      </c>
      <c r="D96" s="6">
        <f t="shared" si="5"/>
        <v>1.2844704293256201E-2</v>
      </c>
      <c r="E96" s="14">
        <f t="shared" si="8"/>
        <v>37.3292</v>
      </c>
      <c r="G96" s="11">
        <f t="shared" si="7"/>
        <v>2.3466733972890254E-4</v>
      </c>
      <c r="H96" s="17">
        <f t="shared" si="9"/>
        <v>-8.7996970242712599E-4</v>
      </c>
    </row>
    <row r="97" spans="1:8" x14ac:dyDescent="0.25">
      <c r="A97" s="2">
        <v>43259</v>
      </c>
      <c r="B97" s="1">
        <v>37.69</v>
      </c>
      <c r="C97" s="6">
        <f t="shared" si="6"/>
        <v>2.1270938580164396E-3</v>
      </c>
      <c r="D97" s="6">
        <f t="shared" si="5"/>
        <v>2.1248347967990143E-3</v>
      </c>
      <c r="E97" s="14">
        <f t="shared" si="8"/>
        <v>37.3504</v>
      </c>
      <c r="G97" s="11">
        <f t="shared" si="7"/>
        <v>5.6647573333625325E-4</v>
      </c>
      <c r="H97" s="17">
        <f t="shared" si="9"/>
        <v>2.1471647340716091E-5</v>
      </c>
    </row>
    <row r="98" spans="1:8" x14ac:dyDescent="0.25">
      <c r="A98" s="2">
        <v>43289</v>
      </c>
      <c r="B98" s="1">
        <v>37.549999999999997</v>
      </c>
      <c r="C98" s="6">
        <f t="shared" si="6"/>
        <v>-3.7145131334571659E-3</v>
      </c>
      <c r="D98" s="6">
        <f t="shared" si="5"/>
        <v>-3.7214290689003256E-3</v>
      </c>
      <c r="E98" s="14">
        <f t="shared" si="8"/>
        <v>37.3504</v>
      </c>
      <c r="G98" s="11">
        <f t="shared" si="7"/>
        <v>-3.8684333514282798E-18</v>
      </c>
      <c r="H98" s="17">
        <f t="shared" si="9"/>
        <v>-1.1013985675315963E-3</v>
      </c>
    </row>
    <row r="99" spans="1:8" x14ac:dyDescent="0.25">
      <c r="A99" s="2">
        <v>43320</v>
      </c>
      <c r="B99" s="1">
        <v>37.67</v>
      </c>
      <c r="C99" s="6">
        <f t="shared" si="6"/>
        <v>3.1957390146472586E-3</v>
      </c>
      <c r="D99" s="6">
        <f t="shared" si="5"/>
        <v>3.1906434938061261E-3</v>
      </c>
      <c r="E99" s="14">
        <f t="shared" si="8"/>
        <v>37.379199999999997</v>
      </c>
      <c r="G99" s="11">
        <f t="shared" si="7"/>
        <v>7.7193497238955554E-4</v>
      </c>
      <c r="H99" s="17">
        <f t="shared" si="9"/>
        <v>1.8621405086972041E-4</v>
      </c>
    </row>
    <row r="100" spans="1:8" x14ac:dyDescent="0.25">
      <c r="A100" s="2">
        <v>43351</v>
      </c>
      <c r="B100" s="1">
        <v>37.21</v>
      </c>
      <c r="C100" s="6">
        <f t="shared" si="6"/>
        <v>-1.2211308733740399E-2</v>
      </c>
      <c r="D100" s="6">
        <f t="shared" si="5"/>
        <v>-1.2286479345418629E-2</v>
      </c>
      <c r="E100" s="14">
        <f t="shared" si="8"/>
        <v>37.380000000000003</v>
      </c>
      <c r="G100" s="11">
        <f t="shared" si="7"/>
        <v>2.150537686210041E-5</v>
      </c>
      <c r="H100" s="17">
        <f t="shared" si="9"/>
        <v>-3.555593968016784E-3</v>
      </c>
    </row>
    <row r="101" spans="1:8" x14ac:dyDescent="0.25">
      <c r="A101" s="2">
        <v>43381</v>
      </c>
      <c r="B101" s="1">
        <v>36.57</v>
      </c>
      <c r="C101" s="6">
        <f t="shared" si="6"/>
        <v>-1.7199677506046777E-2</v>
      </c>
      <c r="D101" s="6">
        <f t="shared" si="5"/>
        <v>-1.7349310197241303E-2</v>
      </c>
      <c r="E101" s="14">
        <f t="shared" si="8"/>
        <v>37.351600000000005</v>
      </c>
      <c r="G101" s="11">
        <f t="shared" si="7"/>
        <v>-7.6915030624402744E-4</v>
      </c>
      <c r="H101" s="17">
        <f t="shared" si="9"/>
        <v>-7.6937088367841399E-3</v>
      </c>
    </row>
    <row r="102" spans="1:8" x14ac:dyDescent="0.25">
      <c r="A102" s="1" t="s">
        <v>59</v>
      </c>
      <c r="B102" s="1">
        <v>36.1</v>
      </c>
      <c r="C102" s="6">
        <f t="shared" si="6"/>
        <v>-1.2852064533770819E-2</v>
      </c>
      <c r="D102" s="6">
        <f t="shared" si="5"/>
        <v>-1.2935366822454619E-2</v>
      </c>
      <c r="E102" s="14">
        <f t="shared" si="8"/>
        <v>37.256399999999999</v>
      </c>
      <c r="G102" s="11">
        <f t="shared" si="7"/>
        <v>-2.5538304183468198E-3</v>
      </c>
      <c r="H102" s="17">
        <f t="shared" si="9"/>
        <v>-9.2662062324852836E-3</v>
      </c>
    </row>
    <row r="103" spans="1:8" x14ac:dyDescent="0.25">
      <c r="A103" s="1" t="s">
        <v>60</v>
      </c>
      <c r="B103" s="1">
        <v>36.4</v>
      </c>
      <c r="C103" s="6">
        <f t="shared" si="6"/>
        <v>8.310249307479145E-3</v>
      </c>
      <c r="D103" s="6">
        <f t="shared" si="5"/>
        <v>8.2759093038596611E-3</v>
      </c>
      <c r="E103" s="14">
        <f t="shared" si="8"/>
        <v>37.180800000000005</v>
      </c>
      <c r="G103" s="11">
        <f t="shared" si="7"/>
        <v>-2.0247996338603304E-3</v>
      </c>
      <c r="H103" s="17">
        <f t="shared" si="9"/>
        <v>-4.0035715715818002E-3</v>
      </c>
    </row>
    <row r="104" spans="1:8" x14ac:dyDescent="0.25">
      <c r="A104" s="1" t="s">
        <v>61</v>
      </c>
      <c r="B104" s="1">
        <v>36.74</v>
      </c>
      <c r="C104" s="6">
        <f t="shared" si="6"/>
        <v>9.3406593406594341E-3</v>
      </c>
      <c r="D104" s="6">
        <f t="shared" si="5"/>
        <v>9.2973051442848034E-3</v>
      </c>
      <c r="E104" s="14">
        <f t="shared" si="8"/>
        <v>37.242400000000004</v>
      </c>
      <c r="G104" s="11">
        <f t="shared" si="7"/>
        <v>1.7127998873171268E-3</v>
      </c>
      <c r="H104" s="17">
        <f t="shared" si="9"/>
        <v>-1.3308556821819192E-5</v>
      </c>
    </row>
    <row r="105" spans="1:8" x14ac:dyDescent="0.25">
      <c r="A105" s="1" t="s">
        <v>62</v>
      </c>
      <c r="B105" s="1">
        <v>37.450000000000003</v>
      </c>
      <c r="C105" s="6">
        <f t="shared" si="6"/>
        <v>1.9324986390854677E-2</v>
      </c>
      <c r="D105" s="6">
        <f t="shared" si="5"/>
        <v>1.9140630176248907E-2</v>
      </c>
      <c r="E105" s="14">
        <f t="shared" si="8"/>
        <v>37.318000000000005</v>
      </c>
      <c r="G105" s="11">
        <f t="shared" si="7"/>
        <v>2.0714119727009857E-3</v>
      </c>
      <c r="H105" s="17">
        <f t="shared" si="9"/>
        <v>5.7328730630993984E-3</v>
      </c>
    </row>
    <row r="106" spans="1:8" x14ac:dyDescent="0.25">
      <c r="A106" s="1" t="s">
        <v>63</v>
      </c>
      <c r="B106" s="1">
        <v>37.090000000000003</v>
      </c>
      <c r="C106" s="6">
        <f t="shared" si="6"/>
        <v>-9.6128170894525869E-3</v>
      </c>
      <c r="D106" s="6">
        <f t="shared" si="5"/>
        <v>-9.6593184617290544E-3</v>
      </c>
      <c r="E106" s="14">
        <f t="shared" si="8"/>
        <v>37.348400000000005</v>
      </c>
      <c r="G106" s="11">
        <f t="shared" si="7"/>
        <v>8.2814181073555466E-4</v>
      </c>
      <c r="H106" s="17">
        <f t="shared" si="9"/>
        <v>1.1152156056508625E-3</v>
      </c>
    </row>
    <row r="107" spans="1:8" x14ac:dyDescent="0.25">
      <c r="A107" s="1" t="s">
        <v>64</v>
      </c>
      <c r="B107" s="1">
        <v>39.25</v>
      </c>
      <c r="C107" s="6">
        <f t="shared" si="6"/>
        <v>5.8236721488271671E-2</v>
      </c>
      <c r="D107" s="6">
        <f t="shared" si="5"/>
        <v>5.6604052726917979E-2</v>
      </c>
      <c r="E107" s="14">
        <f t="shared" si="8"/>
        <v>37.458800000000004</v>
      </c>
      <c r="G107" s="11">
        <f t="shared" si="7"/>
        <v>2.9165277512024383E-3</v>
      </c>
      <c r="H107" s="17">
        <f t="shared" si="9"/>
        <v>1.7761866742030997E-2</v>
      </c>
    </row>
    <row r="108" spans="1:8" x14ac:dyDescent="0.25">
      <c r="A108" s="1" t="s">
        <v>65</v>
      </c>
      <c r="B108" s="1">
        <v>39.58</v>
      </c>
      <c r="C108" s="6">
        <f t="shared" si="6"/>
        <v>8.407643312101868E-3</v>
      </c>
      <c r="D108" s="6">
        <f t="shared" si="5"/>
        <v>8.3724959460021835E-3</v>
      </c>
      <c r="E108" s="14">
        <f t="shared" si="8"/>
        <v>37.578400000000002</v>
      </c>
      <c r="G108" s="11">
        <f t="shared" si="7"/>
        <v>3.1419584457321611E-3</v>
      </c>
      <c r="H108" s="17">
        <f t="shared" si="9"/>
        <v>1.4945055503222351E-2</v>
      </c>
    </row>
    <row r="109" spans="1:8" x14ac:dyDescent="0.25">
      <c r="A109" s="1" t="s">
        <v>66</v>
      </c>
      <c r="B109" s="1">
        <v>38.46</v>
      </c>
      <c r="C109" s="6">
        <f t="shared" si="6"/>
        <v>-2.8297119757453196E-2</v>
      </c>
      <c r="D109" s="6">
        <f t="shared" si="5"/>
        <v>-2.8705200013785927E-2</v>
      </c>
      <c r="E109" s="14">
        <f t="shared" si="8"/>
        <v>37.614400000000003</v>
      </c>
      <c r="G109" s="11">
        <f t="shared" si="7"/>
        <v>9.4716343282285861E-4</v>
      </c>
      <c r="H109" s="17">
        <f t="shared" si="9"/>
        <v>1.8499788481198681E-3</v>
      </c>
    </row>
    <row r="110" spans="1:8" x14ac:dyDescent="0.25">
      <c r="A110" s="1" t="s">
        <v>67</v>
      </c>
      <c r="B110" s="1">
        <v>38.11</v>
      </c>
      <c r="C110" s="6">
        <f t="shared" si="6"/>
        <v>-9.1003640145606197E-3</v>
      </c>
      <c r="D110" s="6">
        <f t="shared" si="5"/>
        <v>-9.142025274864846E-3</v>
      </c>
      <c r="E110" s="14">
        <f t="shared" si="8"/>
        <v>37.646000000000008</v>
      </c>
      <c r="G110" s="11">
        <f t="shared" si="7"/>
        <v>8.3789355626503169E-4</v>
      </c>
      <c r="H110" s="17">
        <f t="shared" si="9"/>
        <v>-1.447622388775546E-3</v>
      </c>
    </row>
    <row r="111" spans="1:8" x14ac:dyDescent="0.25">
      <c r="A111" s="1" t="s">
        <v>68</v>
      </c>
      <c r="B111" s="1">
        <v>38.1</v>
      </c>
      <c r="C111" s="6">
        <f t="shared" si="6"/>
        <v>-2.6239832065069562E-4</v>
      </c>
      <c r="D111" s="6">
        <f t="shared" si="5"/>
        <v>-2.6243275311348851E-4</v>
      </c>
      <c r="E111" s="14">
        <f t="shared" si="8"/>
        <v>37.686800000000012</v>
      </c>
      <c r="G111" s="11">
        <f t="shared" si="7"/>
        <v>1.0854616574000409E-3</v>
      </c>
      <c r="H111" s="17">
        <f t="shared" si="9"/>
        <v>-1.0920654980769286E-3</v>
      </c>
    </row>
    <row r="112" spans="1:8" x14ac:dyDescent="0.25">
      <c r="A112" s="1" t="s">
        <v>69</v>
      </c>
      <c r="B112" s="1">
        <v>38.78</v>
      </c>
      <c r="C112" s="6">
        <f t="shared" si="6"/>
        <v>1.7847769028871384E-2</v>
      </c>
      <c r="D112" s="6">
        <f t="shared" si="5"/>
        <v>1.7690367681850491E-2</v>
      </c>
      <c r="E112" s="14">
        <f t="shared" si="8"/>
        <v>37.748800000000003</v>
      </c>
      <c r="G112" s="11">
        <f t="shared" si="7"/>
        <v>1.6315904771952139E-3</v>
      </c>
      <c r="H112" s="17">
        <f t="shared" si="9"/>
        <v>4.5426644559012968E-3</v>
      </c>
    </row>
    <row r="113" spans="1:8" x14ac:dyDescent="0.25">
      <c r="A113" s="1" t="s">
        <v>70</v>
      </c>
      <c r="B113" s="1">
        <v>39.93</v>
      </c>
      <c r="C113" s="6">
        <f t="shared" si="6"/>
        <v>2.9654461062403263E-2</v>
      </c>
      <c r="D113" s="6">
        <f t="shared" si="5"/>
        <v>2.9223271260624125E-2</v>
      </c>
      <c r="E113" s="14">
        <f t="shared" si="8"/>
        <v>37.879600000000003</v>
      </c>
      <c r="G113" s="11">
        <f t="shared" si="7"/>
        <v>3.4176671465428448E-3</v>
      </c>
      <c r="H113" s="17">
        <f t="shared" si="9"/>
        <v>1.1946846497318144E-2</v>
      </c>
    </row>
    <row r="114" spans="1:8" x14ac:dyDescent="0.25">
      <c r="A114" s="1" t="s">
        <v>71</v>
      </c>
      <c r="B114" s="1">
        <v>39.75</v>
      </c>
      <c r="C114" s="6">
        <f t="shared" si="6"/>
        <v>-4.5078888054094594E-3</v>
      </c>
      <c r="D114" s="6">
        <f t="shared" si="5"/>
        <v>-4.5180799747890034E-3</v>
      </c>
      <c r="E114" s="14">
        <f t="shared" si="8"/>
        <v>37.974400000000003</v>
      </c>
      <c r="G114" s="11">
        <f t="shared" si="7"/>
        <v>2.4589615629169695E-3</v>
      </c>
      <c r="H114" s="17">
        <f t="shared" si="9"/>
        <v>7.0073685556859997E-3</v>
      </c>
    </row>
    <row r="115" spans="1:8" x14ac:dyDescent="0.25">
      <c r="A115" s="1" t="s">
        <v>72</v>
      </c>
      <c r="B115" s="1">
        <v>39.65</v>
      </c>
      <c r="C115" s="6">
        <f t="shared" si="6"/>
        <v>-2.5157232704402874E-3</v>
      </c>
      <c r="D115" s="6">
        <f t="shared" si="5"/>
        <v>-2.5188930194839148E-3</v>
      </c>
      <c r="E115" s="14">
        <f t="shared" si="8"/>
        <v>37.993600000000001</v>
      </c>
      <c r="G115" s="11">
        <f t="shared" si="7"/>
        <v>4.8719201612468287E-4</v>
      </c>
      <c r="H115" s="17">
        <f t="shared" si="9"/>
        <v>4.1494900831350245E-3</v>
      </c>
    </row>
    <row r="116" spans="1:8" x14ac:dyDescent="0.25">
      <c r="A116" s="1" t="s">
        <v>73</v>
      </c>
      <c r="B116" s="1">
        <v>39.729999999999997</v>
      </c>
      <c r="C116" s="6">
        <f t="shared" si="6"/>
        <v>2.0176544766708272E-3</v>
      </c>
      <c r="D116" s="6">
        <f t="shared" si="5"/>
        <v>2.015621745650507E-3</v>
      </c>
      <c r="E116" s="14">
        <f t="shared" si="8"/>
        <v>38.028800000000004</v>
      </c>
      <c r="G116" s="11">
        <f t="shared" si="7"/>
        <v>8.9593972051404513E-4</v>
      </c>
      <c r="H116" s="17">
        <f t="shared" si="9"/>
        <v>3.5093295818896691E-3</v>
      </c>
    </row>
    <row r="117" spans="1:8" x14ac:dyDescent="0.25">
      <c r="A117" s="2">
        <v>43199</v>
      </c>
      <c r="B117" s="1">
        <v>40.01</v>
      </c>
      <c r="C117" s="6">
        <f t="shared" si="6"/>
        <v>7.0475711049584992E-3</v>
      </c>
      <c r="D117" s="6">
        <f t="shared" si="5"/>
        <v>7.0228530426360769E-3</v>
      </c>
      <c r="E117" s="14">
        <f t="shared" si="8"/>
        <v>38.1036</v>
      </c>
      <c r="G117" s="11">
        <f t="shared" si="7"/>
        <v>1.914632907874829E-3</v>
      </c>
      <c r="H117" s="17">
        <f t="shared" si="9"/>
        <v>4.5633866201135916E-3</v>
      </c>
    </row>
    <row r="118" spans="1:8" x14ac:dyDescent="0.25">
      <c r="A118" s="2">
        <v>43229</v>
      </c>
      <c r="B118" s="1">
        <v>38.93</v>
      </c>
      <c r="C118" s="6">
        <f t="shared" si="6"/>
        <v>-2.6993251687078189E-2</v>
      </c>
      <c r="D118" s="6">
        <f t="shared" si="5"/>
        <v>-2.7364261246779292E-2</v>
      </c>
      <c r="E118" s="14">
        <f t="shared" si="8"/>
        <v>38.1128</v>
      </c>
      <c r="G118" s="11">
        <f t="shared" si="7"/>
        <v>2.3702246346513024E-4</v>
      </c>
      <c r="H118" s="17">
        <f t="shared" si="9"/>
        <v>-5.0149077399542731E-3</v>
      </c>
    </row>
    <row r="119" spans="1:8" x14ac:dyDescent="0.25">
      <c r="A119" s="2">
        <v>43260</v>
      </c>
      <c r="B119" s="1">
        <v>37.76</v>
      </c>
      <c r="C119" s="6">
        <f t="shared" si="6"/>
        <v>-3.0053942974569786E-2</v>
      </c>
      <c r="D119" s="6">
        <f t="shared" si="5"/>
        <v>-3.051482034506444E-2</v>
      </c>
      <c r="E119" s="14">
        <f t="shared" si="8"/>
        <v>38.130000000000003</v>
      </c>
      <c r="G119" s="11">
        <f t="shared" si="7"/>
        <v>4.5812193403230422E-4</v>
      </c>
      <c r="H119" s="17">
        <f t="shared" si="9"/>
        <v>-1.2664881521487323E-2</v>
      </c>
    </row>
    <row r="120" spans="1:8" x14ac:dyDescent="0.25">
      <c r="A120" s="2">
        <v>43290</v>
      </c>
      <c r="B120" s="1">
        <v>37.71</v>
      </c>
      <c r="C120" s="6">
        <f t="shared" si="6"/>
        <v>-1.3241525423728061E-3</v>
      </c>
      <c r="D120" s="6">
        <f t="shared" si="5"/>
        <v>-1.325030007034148E-3</v>
      </c>
      <c r="E120" s="14">
        <f t="shared" si="8"/>
        <v>38.153199999999991</v>
      </c>
      <c r="G120" s="11">
        <f t="shared" si="7"/>
        <v>6.200017232510835E-4</v>
      </c>
      <c r="H120" s="17">
        <f t="shared" si="9"/>
        <v>-9.2629260671513707E-3</v>
      </c>
    </row>
    <row r="121" spans="1:8" x14ac:dyDescent="0.25">
      <c r="A121" s="2">
        <v>43382</v>
      </c>
      <c r="B121" s="1">
        <v>38.700000000000003</v>
      </c>
      <c r="C121" s="6">
        <f t="shared" si="6"/>
        <v>2.6252983293556138E-2</v>
      </c>
      <c r="D121" s="6">
        <f t="shared" si="5"/>
        <v>2.5914288765470368E-2</v>
      </c>
      <c r="E121" s="14">
        <f t="shared" si="8"/>
        <v>38.196799999999996</v>
      </c>
      <c r="G121" s="11">
        <f t="shared" si="7"/>
        <v>1.1427851021396501E-3</v>
      </c>
      <c r="H121" s="17">
        <f t="shared" si="9"/>
        <v>1.290238382635151E-3</v>
      </c>
    </row>
    <row r="122" spans="1:8" x14ac:dyDescent="0.25">
      <c r="A122" s="2">
        <v>43413</v>
      </c>
      <c r="B122" s="1">
        <v>39.43</v>
      </c>
      <c r="C122" s="6">
        <f t="shared" si="6"/>
        <v>1.8863049095607154E-2</v>
      </c>
      <c r="D122" s="6">
        <f t="shared" si="5"/>
        <v>1.8687347853799663E-2</v>
      </c>
      <c r="E122" s="14">
        <f t="shared" si="8"/>
        <v>38.266399999999997</v>
      </c>
      <c r="G122" s="11">
        <f t="shared" si="7"/>
        <v>1.8052856244196763E-3</v>
      </c>
      <c r="H122" s="17">
        <f t="shared" si="9"/>
        <v>6.5093712239845045E-3</v>
      </c>
    </row>
    <row r="123" spans="1:8" x14ac:dyDescent="0.25">
      <c r="A123" s="2">
        <v>43443</v>
      </c>
      <c r="B123" s="1">
        <v>38.53</v>
      </c>
      <c r="C123" s="6">
        <f t="shared" si="6"/>
        <v>-2.2825259954349444E-2</v>
      </c>
      <c r="D123" s="6">
        <f t="shared" si="5"/>
        <v>-2.3089789251469584E-2</v>
      </c>
      <c r="E123" s="14">
        <f t="shared" si="8"/>
        <v>38.305599999999998</v>
      </c>
      <c r="G123" s="11">
        <f t="shared" si="7"/>
        <v>1.0305512171169058E-3</v>
      </c>
      <c r="H123" s="17">
        <f t="shared" si="9"/>
        <v>-2.3703769186517228E-3</v>
      </c>
    </row>
    <row r="124" spans="1:8" x14ac:dyDescent="0.25">
      <c r="A124" s="1" t="s">
        <v>74</v>
      </c>
      <c r="B124" s="1">
        <v>38.74</v>
      </c>
      <c r="C124" s="6">
        <f t="shared" si="6"/>
        <v>5.4502984687256903E-3</v>
      </c>
      <c r="D124" s="6">
        <f t="shared" si="5"/>
        <v>5.4354993407836208E-3</v>
      </c>
      <c r="E124" s="14">
        <f t="shared" si="8"/>
        <v>38.348399999999998</v>
      </c>
      <c r="G124" s="11">
        <f t="shared" si="7"/>
        <v>1.1203454509960058E-3</v>
      </c>
      <c r="H124" s="17">
        <f t="shared" si="9"/>
        <v>-2.8614040821119645E-5</v>
      </c>
    </row>
    <row r="125" spans="1:8" x14ac:dyDescent="0.25">
      <c r="A125" s="1" t="s">
        <v>75</v>
      </c>
      <c r="B125" s="1">
        <v>39</v>
      </c>
      <c r="C125" s="6">
        <f t="shared" si="6"/>
        <v>6.711409395973103E-3</v>
      </c>
      <c r="D125" s="6">
        <f t="shared" si="5"/>
        <v>6.6889881507964889E-3</v>
      </c>
      <c r="E125" s="14">
        <f t="shared" si="8"/>
        <v>38.419999999999995</v>
      </c>
      <c r="G125" s="11">
        <f t="shared" si="7"/>
        <v>1.8793641508446099E-3</v>
      </c>
      <c r="H125" s="17">
        <f t="shared" si="9"/>
        <v>1.9866666166641627E-3</v>
      </c>
    </row>
    <row r="126" spans="1:8" x14ac:dyDescent="0.25">
      <c r="A126" s="1" t="s">
        <v>76</v>
      </c>
      <c r="B126" s="1">
        <v>39.57</v>
      </c>
      <c r="C126" s="6">
        <f t="shared" si="6"/>
        <v>1.4615384615384622E-2</v>
      </c>
      <c r="D126" s="6">
        <f t="shared" si="5"/>
        <v>1.4509609267686574E-2</v>
      </c>
      <c r="E126" s="14">
        <f t="shared" si="8"/>
        <v>38.540000000000006</v>
      </c>
      <c r="G126" s="11">
        <f t="shared" si="7"/>
        <v>3.1537209294417255E-3</v>
      </c>
      <c r="H126" s="17">
        <f t="shared" si="9"/>
        <v>5.7435494119708859E-3</v>
      </c>
    </row>
    <row r="127" spans="1:8" x14ac:dyDescent="0.25">
      <c r="A127" s="1" t="s">
        <v>77</v>
      </c>
      <c r="B127" s="1">
        <v>40.03</v>
      </c>
      <c r="C127" s="6">
        <f t="shared" si="6"/>
        <v>1.162496841041195E-2</v>
      </c>
      <c r="D127" s="6">
        <f t="shared" si="5"/>
        <v>1.1557917607149339E-2</v>
      </c>
      <c r="E127" s="14">
        <f t="shared" si="8"/>
        <v>38.697199999999995</v>
      </c>
      <c r="G127" s="11">
        <f t="shared" si="7"/>
        <v>4.1334523066258837E-3</v>
      </c>
      <c r="H127" s="17">
        <f t="shared" si="9"/>
        <v>7.4878598705244211E-3</v>
      </c>
    </row>
    <row r="128" spans="1:8" x14ac:dyDescent="0.25">
      <c r="A128" s="1" t="s">
        <v>78</v>
      </c>
      <c r="B128" s="1">
        <v>40.83</v>
      </c>
      <c r="C128" s="6">
        <f t="shared" si="6"/>
        <v>1.9985011241568752E-2</v>
      </c>
      <c r="D128" s="6">
        <f t="shared" si="5"/>
        <v>1.9787932327002031E-2</v>
      </c>
      <c r="E128" s="14">
        <f t="shared" si="8"/>
        <v>38.874400000000009</v>
      </c>
      <c r="G128" s="11">
        <f t="shared" si="7"/>
        <v>4.593933227551578E-3</v>
      </c>
      <c r="H128" s="17">
        <f t="shared" si="9"/>
        <v>1.1177881607467703E-2</v>
      </c>
    </row>
    <row r="129" spans="1:8" x14ac:dyDescent="0.25">
      <c r="A129" s="1" t="s">
        <v>79</v>
      </c>
      <c r="B129" s="1">
        <v>41.11</v>
      </c>
      <c r="C129" s="6">
        <f t="shared" si="6"/>
        <v>6.8577026696057105E-3</v>
      </c>
      <c r="D129" s="6">
        <f t="shared" si="5"/>
        <v>6.8342955783026902E-3</v>
      </c>
      <c r="E129" s="14">
        <f t="shared" si="8"/>
        <v>39.049200000000006</v>
      </c>
      <c r="G129" s="11">
        <f t="shared" si="7"/>
        <v>4.4954128449122945E-3</v>
      </c>
      <c r="H129" s="17">
        <f t="shared" si="9"/>
        <v>9.8748057987181996E-3</v>
      </c>
    </row>
    <row r="130" spans="1:8" x14ac:dyDescent="0.25">
      <c r="A130" s="1" t="s">
        <v>80</v>
      </c>
      <c r="B130" s="1">
        <v>42.79</v>
      </c>
      <c r="C130" s="6">
        <f t="shared" si="6"/>
        <v>4.0865969350522981E-2</v>
      </c>
      <c r="D130" s="6">
        <f t="shared" si="5"/>
        <v>4.0053029518938334E-2</v>
      </c>
      <c r="E130" s="14">
        <f t="shared" si="8"/>
        <v>39.262799999999999</v>
      </c>
      <c r="G130" s="11">
        <f t="shared" si="7"/>
        <v>5.3319088186198705E-3</v>
      </c>
      <c r="H130" s="17">
        <f t="shared" si="9"/>
        <v>1.8928272914784237E-2</v>
      </c>
    </row>
    <row r="131" spans="1:8" x14ac:dyDescent="0.25">
      <c r="A131" s="1" t="s">
        <v>81</v>
      </c>
      <c r="B131" s="1">
        <v>41.2</v>
      </c>
      <c r="C131" s="6">
        <f t="shared" si="6"/>
        <v>-3.7158214536106481E-2</v>
      </c>
      <c r="D131" s="6">
        <f t="shared" si="5"/>
        <v>-3.7866174073244649E-2</v>
      </c>
      <c r="E131" s="14">
        <f t="shared" si="8"/>
        <v>39.427199999999999</v>
      </c>
      <c r="G131" s="11">
        <f t="shared" si="7"/>
        <v>4.2036345941592465E-3</v>
      </c>
      <c r="H131" s="17">
        <f t="shared" si="9"/>
        <v>1.8899388183755712E-3</v>
      </c>
    </row>
    <row r="132" spans="1:8" x14ac:dyDescent="0.25">
      <c r="A132" s="1" t="s">
        <v>82</v>
      </c>
      <c r="B132" s="1">
        <v>40.049999999999997</v>
      </c>
      <c r="C132" s="6">
        <f t="shared" si="6"/>
        <v>-2.7912621359223438E-2</v>
      </c>
      <c r="D132" s="6">
        <f t="shared" si="5"/>
        <v>-2.8309582841112638E-2</v>
      </c>
      <c r="E132" s="14">
        <f t="shared" si="8"/>
        <v>39.459200000000003</v>
      </c>
      <c r="G132" s="11">
        <f t="shared" si="7"/>
        <v>8.070891714380224E-4</v>
      </c>
      <c r="H132" s="17">
        <f t="shared" si="9"/>
        <v>-7.1699176794708915E-3</v>
      </c>
    </row>
    <row r="133" spans="1:8" x14ac:dyDescent="0.25">
      <c r="A133" s="1" t="s">
        <v>83</v>
      </c>
      <c r="B133" s="1">
        <v>40.28</v>
      </c>
      <c r="C133" s="6">
        <f t="shared" si="6"/>
        <v>5.7428214731586515E-3</v>
      </c>
      <c r="D133" s="6">
        <f t="shared" ref="D133:D196" si="10">LN(B133/B132)</f>
        <v>5.7263943359935074E-3</v>
      </c>
      <c r="E133" s="14">
        <f t="shared" si="8"/>
        <v>39.487200000000001</v>
      </c>
      <c r="G133" s="11">
        <f t="shared" si="7"/>
        <v>7.0124510703767514E-4</v>
      </c>
      <c r="H133" s="17">
        <f t="shared" si="9"/>
        <v>-3.301024074831572E-3</v>
      </c>
    </row>
    <row r="134" spans="1:8" x14ac:dyDescent="0.25">
      <c r="A134" s="1" t="s">
        <v>84</v>
      </c>
      <c r="B134" s="1">
        <v>40.729999999999997</v>
      </c>
      <c r="C134" s="6">
        <f t="shared" ref="C134:C197" si="11">(B134-B133)/B133</f>
        <v>1.1171797418073379E-2</v>
      </c>
      <c r="D134" s="6">
        <f t="shared" si="10"/>
        <v>1.1109853809959574E-2</v>
      </c>
      <c r="E134" s="14">
        <f t="shared" si="8"/>
        <v>39.578000000000003</v>
      </c>
      <c r="G134" s="11">
        <f t="shared" si="7"/>
        <v>2.2938472599874958E-3</v>
      </c>
      <c r="H134" s="17">
        <f t="shared" si="9"/>
        <v>1.022239290605772E-3</v>
      </c>
    </row>
    <row r="135" spans="1:8" x14ac:dyDescent="0.25">
      <c r="A135" s="1" t="s">
        <v>85</v>
      </c>
      <c r="B135" s="1">
        <v>40.56</v>
      </c>
      <c r="C135" s="6">
        <f t="shared" si="11"/>
        <v>-4.1738276454700374E-3</v>
      </c>
      <c r="D135" s="6">
        <f t="shared" si="10"/>
        <v>-4.1825623773933474E-3</v>
      </c>
      <c r="E135" s="14">
        <f t="shared" si="8"/>
        <v>39.676000000000002</v>
      </c>
      <c r="G135" s="11">
        <f t="shared" si="7"/>
        <v>2.492225775886355E-3</v>
      </c>
      <c r="H135" s="17">
        <f t="shared" si="9"/>
        <v>-5.3920120979396389E-4</v>
      </c>
    </row>
    <row r="136" spans="1:8" x14ac:dyDescent="0.25">
      <c r="A136" s="2">
        <v>43110</v>
      </c>
      <c r="B136" s="1">
        <v>38.869999999999997</v>
      </c>
      <c r="C136" s="6">
        <f t="shared" si="11"/>
        <v>-4.1666666666666782E-2</v>
      </c>
      <c r="D136" s="6">
        <f t="shared" si="10"/>
        <v>-4.2559614418796007E-2</v>
      </c>
      <c r="E136" s="14">
        <f t="shared" si="8"/>
        <v>39.706800000000001</v>
      </c>
      <c r="G136" s="11">
        <f t="shared" si="7"/>
        <v>8.0033850925905425E-4</v>
      </c>
      <c r="H136" s="17">
        <f t="shared" si="9"/>
        <v>-1.3145325172494577E-2</v>
      </c>
    </row>
    <row r="137" spans="1:8" x14ac:dyDescent="0.25">
      <c r="A137" s="2">
        <v>43141</v>
      </c>
      <c r="B137" s="1">
        <v>37.78</v>
      </c>
      <c r="C137" s="6">
        <f t="shared" si="11"/>
        <v>-2.8042191921790492E-2</v>
      </c>
      <c r="D137" s="6">
        <f t="shared" si="10"/>
        <v>-2.8442882790768186E-2</v>
      </c>
      <c r="E137" s="14">
        <f t="shared" si="8"/>
        <v>39.666799999999995</v>
      </c>
      <c r="G137" s="11">
        <f t="shared" si="7"/>
        <v>-1.0449915096456925E-3</v>
      </c>
      <c r="H137" s="17">
        <f t="shared" si="9"/>
        <v>-1.7734592457976657E-2</v>
      </c>
    </row>
    <row r="138" spans="1:8" x14ac:dyDescent="0.25">
      <c r="A138" s="2">
        <v>43169</v>
      </c>
      <c r="B138" s="1">
        <v>38.08</v>
      </c>
      <c r="C138" s="6">
        <f t="shared" si="11"/>
        <v>7.9407093700369809E-3</v>
      </c>
      <c r="D138" s="6">
        <f t="shared" si="10"/>
        <v>7.9093478498010062E-3</v>
      </c>
      <c r="E138" s="14">
        <f t="shared" si="8"/>
        <v>39.592799999999997</v>
      </c>
      <c r="G138" s="11">
        <f t="shared" si="7"/>
        <v>-1.8975484460786167E-3</v>
      </c>
      <c r="H138" s="17">
        <f t="shared" si="9"/>
        <v>-1.0041410365643356E-2</v>
      </c>
    </row>
    <row r="139" spans="1:8" x14ac:dyDescent="0.25">
      <c r="A139" s="2">
        <v>43200</v>
      </c>
      <c r="B139" s="1">
        <v>37.21</v>
      </c>
      <c r="C139" s="6">
        <f t="shared" si="11"/>
        <v>-2.2846638655462118E-2</v>
      </c>
      <c r="D139" s="6">
        <f t="shared" si="10"/>
        <v>-2.3111667564633353E-2</v>
      </c>
      <c r="E139" s="14">
        <f t="shared" si="8"/>
        <v>39.491200000000006</v>
      </c>
      <c r="G139" s="11">
        <f t="shared" si="7"/>
        <v>-2.6412919496723915E-3</v>
      </c>
      <c r="H139" s="17">
        <f t="shared" si="9"/>
        <v>-1.3962487525340354E-2</v>
      </c>
    </row>
    <row r="140" spans="1:8" x14ac:dyDescent="0.25">
      <c r="A140" s="2">
        <v>43230</v>
      </c>
      <c r="B140" s="1">
        <v>35.76</v>
      </c>
      <c r="C140" s="6">
        <f t="shared" si="11"/>
        <v>-3.896801934963727E-2</v>
      </c>
      <c r="D140" s="6">
        <f t="shared" si="10"/>
        <v>-3.9747592053217776E-2</v>
      </c>
      <c r="E140" s="14">
        <f t="shared" si="8"/>
        <v>39.335599999999992</v>
      </c>
      <c r="G140" s="11">
        <f t="shared" si="7"/>
        <v>-4.1304399110217455E-3</v>
      </c>
      <c r="H140" s="17">
        <f t="shared" si="9"/>
        <v>-2.1698018883703582E-2</v>
      </c>
    </row>
    <row r="141" spans="1:8" x14ac:dyDescent="0.25">
      <c r="A141" s="2">
        <v>43322</v>
      </c>
      <c r="B141" s="1">
        <v>35.229999999999997</v>
      </c>
      <c r="C141" s="6">
        <f t="shared" si="11"/>
        <v>-1.4821029082774082E-2</v>
      </c>
      <c r="D141" s="6">
        <f t="shared" si="10"/>
        <v>-1.4931957952167126E-2</v>
      </c>
      <c r="E141" s="14">
        <f t="shared" si="8"/>
        <v>39.155600000000007</v>
      </c>
      <c r="G141" s="11">
        <f t="shared" si="7"/>
        <v>-4.8083430989344514E-3</v>
      </c>
      <c r="H141" s="17">
        <f t="shared" si="9"/>
        <v>-1.9668200604242646E-2</v>
      </c>
    </row>
    <row r="142" spans="1:8" x14ac:dyDescent="0.25">
      <c r="A142" s="2">
        <v>43353</v>
      </c>
      <c r="B142" s="1">
        <v>32.93</v>
      </c>
      <c r="C142" s="6">
        <f t="shared" si="11"/>
        <v>-6.5285268237297689E-2</v>
      </c>
      <c r="D142" s="6">
        <f t="shared" si="10"/>
        <v>-6.7513895964873227E-2</v>
      </c>
      <c r="E142" s="14">
        <f t="shared" si="8"/>
        <v>38.872399999999999</v>
      </c>
      <c r="G142" s="11">
        <f t="shared" si="7"/>
        <v>-7.7898130592348232E-3</v>
      </c>
      <c r="H142" s="17">
        <f t="shared" si="9"/>
        <v>-3.4021909212431818E-2</v>
      </c>
    </row>
    <row r="143" spans="1:8" x14ac:dyDescent="0.25">
      <c r="A143" s="2">
        <v>43383</v>
      </c>
      <c r="B143" s="1">
        <v>31.02</v>
      </c>
      <c r="C143" s="6">
        <f t="shared" si="11"/>
        <v>-5.800182204676587E-2</v>
      </c>
      <c r="D143" s="6">
        <f t="shared" si="10"/>
        <v>-5.9751938639880132E-2</v>
      </c>
      <c r="E143" s="14">
        <f t="shared" si="8"/>
        <v>38.555999999999997</v>
      </c>
      <c r="G143" s="11">
        <f t="shared" si="7"/>
        <v>-9.0853201549588574E-3</v>
      </c>
      <c r="H143" s="17">
        <f t="shared" si="9"/>
        <v>-4.1740918040666312E-2</v>
      </c>
    </row>
    <row r="144" spans="1:8" x14ac:dyDescent="0.25">
      <c r="A144" s="2">
        <v>43414</v>
      </c>
      <c r="B144" s="1">
        <v>30.69</v>
      </c>
      <c r="C144" s="6">
        <f t="shared" si="11"/>
        <v>-1.0638297872340371E-2</v>
      </c>
      <c r="D144" s="6">
        <f t="shared" si="10"/>
        <v>-1.0695289116747919E-2</v>
      </c>
      <c r="E144" s="14">
        <f t="shared" si="8"/>
        <v>38.273200000000003</v>
      </c>
      <c r="G144" s="11">
        <f t="shared" si="7"/>
        <v>-8.2925389058261956E-3</v>
      </c>
      <c r="H144" s="17">
        <f t="shared" si="9"/>
        <v>-3.2427229363490795E-2</v>
      </c>
    </row>
    <row r="145" spans="1:8" x14ac:dyDescent="0.25">
      <c r="A145" s="2">
        <v>43444</v>
      </c>
      <c r="B145" s="1">
        <v>30.33</v>
      </c>
      <c r="C145" s="6">
        <f t="shared" si="11"/>
        <v>-1.1730205278592473E-2</v>
      </c>
      <c r="D145" s="6">
        <f t="shared" si="10"/>
        <v>-1.1799546931155168E-2</v>
      </c>
      <c r="E145" s="14">
        <f t="shared" si="8"/>
        <v>37.978000000000002</v>
      </c>
      <c r="G145" s="11">
        <f t="shared" si="7"/>
        <v>-8.7115195827910368E-3</v>
      </c>
      <c r="H145" s="17">
        <f t="shared" si="9"/>
        <v>-2.6238924633790104E-2</v>
      </c>
    </row>
    <row r="146" spans="1:8" x14ac:dyDescent="0.25">
      <c r="A146" s="1" t="s">
        <v>86</v>
      </c>
      <c r="B146" s="1">
        <v>31.19</v>
      </c>
      <c r="C146" s="6">
        <f t="shared" si="11"/>
        <v>2.835476425980887E-2</v>
      </c>
      <c r="D146" s="6">
        <f t="shared" si="10"/>
        <v>2.7960208919222147E-2</v>
      </c>
      <c r="E146" s="14">
        <f t="shared" si="8"/>
        <v>37.677600000000012</v>
      </c>
      <c r="G146" s="11">
        <f t="shared" si="7"/>
        <v>-8.6296827766409664E-3</v>
      </c>
      <c r="H146" s="17">
        <f t="shared" si="9"/>
        <v>-9.9791845678864292E-3</v>
      </c>
    </row>
    <row r="147" spans="1:8" x14ac:dyDescent="0.25">
      <c r="A147" s="1" t="s">
        <v>87</v>
      </c>
      <c r="B147" s="1">
        <v>32.659999999999997</v>
      </c>
      <c r="C147" s="6">
        <f t="shared" si="11"/>
        <v>4.7130490541840181E-2</v>
      </c>
      <c r="D147" s="6">
        <f t="shared" si="10"/>
        <v>4.6053556922606986E-2</v>
      </c>
      <c r="E147" s="14">
        <f t="shared" si="8"/>
        <v>37.406800000000004</v>
      </c>
      <c r="G147" s="11">
        <f t="shared" si="7"/>
        <v>-7.5350344138886719E-3</v>
      </c>
      <c r="H147" s="17">
        <f t="shared" si="9"/>
        <v>6.8306378792615963E-3</v>
      </c>
    </row>
    <row r="148" spans="1:8" x14ac:dyDescent="0.25">
      <c r="A148" s="1" t="s">
        <v>88</v>
      </c>
      <c r="B148" s="1">
        <v>32.94</v>
      </c>
      <c r="C148" s="6">
        <f t="shared" si="11"/>
        <v>8.5731781996326133E-3</v>
      </c>
      <c r="D148" s="6">
        <f t="shared" si="10"/>
        <v>8.5366372071751795E-3</v>
      </c>
      <c r="E148" s="14">
        <f t="shared" si="8"/>
        <v>37.183200000000006</v>
      </c>
      <c r="G148" s="11">
        <f t="shared" si="7"/>
        <v>-6.269977355542882E-3</v>
      </c>
      <c r="H148" s="17">
        <f t="shared" si="9"/>
        <v>7.3424376776356709E-3</v>
      </c>
    </row>
    <row r="149" spans="1:8" x14ac:dyDescent="0.25">
      <c r="A149" s="1" t="s">
        <v>89</v>
      </c>
      <c r="B149" s="1">
        <v>31.46</v>
      </c>
      <c r="C149" s="6">
        <f t="shared" si="11"/>
        <v>-4.4930176077716967E-2</v>
      </c>
      <c r="D149" s="6">
        <f t="shared" si="10"/>
        <v>-4.5970827119362422E-2</v>
      </c>
      <c r="E149" s="14">
        <f t="shared" si="8"/>
        <v>36.89200000000001</v>
      </c>
      <c r="G149" s="11">
        <f t="shared" si="7"/>
        <v>-8.3262304139487247E-3</v>
      </c>
      <c r="H149" s="17">
        <f t="shared" si="9"/>
        <v>-8.6515417614637571E-3</v>
      </c>
    </row>
    <row r="150" spans="1:8" x14ac:dyDescent="0.25">
      <c r="A150" s="1" t="s">
        <v>90</v>
      </c>
      <c r="B150" s="1">
        <v>31.44</v>
      </c>
      <c r="C150" s="6">
        <f t="shared" si="11"/>
        <v>-6.3572790845516764E-4</v>
      </c>
      <c r="D150" s="6">
        <f t="shared" si="10"/>
        <v>-6.3593006912590784E-4</v>
      </c>
      <c r="E150" s="14">
        <f t="shared" si="8"/>
        <v>36.589600000000011</v>
      </c>
      <c r="G150" s="11">
        <f t="shared" si="7"/>
        <v>-8.6192271427456193E-3</v>
      </c>
      <c r="H150" s="17">
        <f t="shared" si="9"/>
        <v>-6.2468582537624018E-3</v>
      </c>
    </row>
    <row r="151" spans="1:8" x14ac:dyDescent="0.25">
      <c r="A151" s="1" t="s">
        <v>91</v>
      </c>
      <c r="B151" s="1">
        <v>31.56</v>
      </c>
      <c r="C151" s="6">
        <f t="shared" si="11"/>
        <v>3.8167938931296893E-3</v>
      </c>
      <c r="D151" s="6">
        <f t="shared" si="10"/>
        <v>3.8095284166676487E-3</v>
      </c>
      <c r="E151" s="14">
        <f t="shared" si="8"/>
        <v>36.269199999999998</v>
      </c>
      <c r="G151" s="11">
        <f t="shared" si="7"/>
        <v>-9.0472303767863763E-3</v>
      </c>
      <c r="H151" s="17">
        <f t="shared" si="9"/>
        <v>-3.2299422526333864E-3</v>
      </c>
    </row>
    <row r="152" spans="1:8" x14ac:dyDescent="0.25">
      <c r="A152" s="1" t="s">
        <v>92</v>
      </c>
      <c r="B152" s="1">
        <v>31.78</v>
      </c>
      <c r="C152" s="6">
        <f t="shared" si="11"/>
        <v>6.9708491761724467E-3</v>
      </c>
      <c r="D152" s="6">
        <f t="shared" si="10"/>
        <v>6.9466651308964693E-3</v>
      </c>
      <c r="E152" s="14">
        <f t="shared" si="8"/>
        <v>35.9392</v>
      </c>
      <c r="G152" s="11">
        <f t="shared" si="7"/>
        <v>-9.2316804758364908E-3</v>
      </c>
      <c r="H152" s="17">
        <f t="shared" si="9"/>
        <v>-1.7696003757442956E-4</v>
      </c>
    </row>
    <row r="153" spans="1:8" x14ac:dyDescent="0.25">
      <c r="A153" s="1" t="s">
        <v>93</v>
      </c>
      <c r="B153" s="1">
        <v>29.78</v>
      </c>
      <c r="C153" s="6">
        <f t="shared" si="11"/>
        <v>-6.2932662051604776E-2</v>
      </c>
      <c r="D153" s="6">
        <f t="shared" si="10"/>
        <v>-6.5000133852706962E-2</v>
      </c>
      <c r="E153" s="14">
        <f t="shared" si="8"/>
        <v>35.497199999999999</v>
      </c>
      <c r="G153" s="11">
        <f t="shared" si="7"/>
        <v>-1.2623203123024854E-2</v>
      </c>
      <c r="H153" s="17">
        <f t="shared" si="9"/>
        <v>-1.9623912182114189E-2</v>
      </c>
    </row>
    <row r="154" spans="1:8" x14ac:dyDescent="0.25">
      <c r="A154" s="1" t="s">
        <v>94</v>
      </c>
      <c r="B154" s="1">
        <v>31.77</v>
      </c>
      <c r="C154" s="6">
        <f t="shared" si="11"/>
        <v>6.6823371390194702E-2</v>
      </c>
      <c r="D154" s="6">
        <f t="shared" si="10"/>
        <v>6.4685421025561768E-2</v>
      </c>
      <c r="E154" s="14">
        <f t="shared" si="8"/>
        <v>35.123600000000003</v>
      </c>
      <c r="G154" s="11">
        <f t="shared" si="7"/>
        <v>-1.030915810513449E-2</v>
      </c>
      <c r="H154" s="17">
        <f t="shared" si="9"/>
        <v>5.6688877801885969E-3</v>
      </c>
    </row>
    <row r="155" spans="1:8" x14ac:dyDescent="0.25">
      <c r="A155" s="1" t="s">
        <v>95</v>
      </c>
      <c r="B155" s="1">
        <v>31.86</v>
      </c>
      <c r="C155" s="6">
        <f t="shared" si="11"/>
        <v>2.8328611898016951E-3</v>
      </c>
      <c r="D155" s="6">
        <f t="shared" si="10"/>
        <v>2.828856200477623E-3</v>
      </c>
      <c r="E155" s="14">
        <f t="shared" si="8"/>
        <v>34.686399999999999</v>
      </c>
      <c r="G155" s="11">
        <f t="shared" si="7"/>
        <v>-1.1798125037872918E-2</v>
      </c>
      <c r="H155" s="17">
        <f t="shared" si="9"/>
        <v>4.8168783062753047E-3</v>
      </c>
    </row>
    <row r="156" spans="1:8" x14ac:dyDescent="0.25">
      <c r="A156" s="1" t="s">
        <v>96</v>
      </c>
      <c r="B156" s="1">
        <v>31.99</v>
      </c>
      <c r="C156" s="6">
        <f t="shared" si="11"/>
        <v>4.0803515379786255E-3</v>
      </c>
      <c r="D156" s="6">
        <f t="shared" si="10"/>
        <v>4.0720494795241022E-3</v>
      </c>
      <c r="E156" s="14">
        <f t="shared" si="8"/>
        <v>34.317999999999998</v>
      </c>
      <c r="G156" s="11">
        <f t="shared" ref="G156:G219" si="12">SUM(D132:D156)/25</f>
        <v>-1.0120596095762166E-2</v>
      </c>
      <c r="H156" s="17">
        <f t="shared" si="9"/>
        <v>4.5934296582499437E-3</v>
      </c>
    </row>
    <row r="157" spans="1:8" x14ac:dyDescent="0.25">
      <c r="A157" s="1" t="s">
        <v>97</v>
      </c>
      <c r="B157" s="1">
        <v>34.01</v>
      </c>
      <c r="C157" s="6">
        <f t="shared" si="11"/>
        <v>6.314473272897779E-2</v>
      </c>
      <c r="D157" s="6">
        <f t="shared" si="10"/>
        <v>6.123124505767745E-2</v>
      </c>
      <c r="E157" s="14">
        <f t="shared" ref="E157:E220" si="13">SUM(B133:B157)/25</f>
        <v>34.0764</v>
      </c>
      <c r="G157" s="11">
        <f t="shared" si="12"/>
        <v>-6.5389629798105649E-3</v>
      </c>
      <c r="H157" s="17">
        <f t="shared" ref="H157:H220" si="14">D157*$N$19+(1-$N$19)*H156</f>
        <v>2.1584774278078193E-2</v>
      </c>
    </row>
    <row r="158" spans="1:8" x14ac:dyDescent="0.25">
      <c r="A158" s="1" t="s">
        <v>98</v>
      </c>
      <c r="B158" s="1">
        <v>34.43</v>
      </c>
      <c r="C158" s="6">
        <f t="shared" si="11"/>
        <v>1.2349309026756888E-2</v>
      </c>
      <c r="D158" s="6">
        <f t="shared" si="10"/>
        <v>1.2273678331328263E-2</v>
      </c>
      <c r="E158" s="14">
        <f t="shared" si="13"/>
        <v>33.842399999999998</v>
      </c>
      <c r="G158" s="11">
        <f t="shared" si="12"/>
        <v>-6.2770716199971746E-3</v>
      </c>
      <c r="H158" s="17">
        <f t="shared" si="14"/>
        <v>1.8791445494053212E-2</v>
      </c>
    </row>
    <row r="159" spans="1:8" x14ac:dyDescent="0.25">
      <c r="A159" s="2">
        <v>43111</v>
      </c>
      <c r="B159" s="1">
        <v>35.69</v>
      </c>
      <c r="C159" s="6">
        <f t="shared" si="11"/>
        <v>3.6595991867557305E-2</v>
      </c>
      <c r="D159" s="6">
        <f t="shared" si="10"/>
        <v>3.5942260151636575E-2</v>
      </c>
      <c r="E159" s="14">
        <f t="shared" si="13"/>
        <v>33.640799999999992</v>
      </c>
      <c r="G159" s="11">
        <f t="shared" si="12"/>
        <v>-5.2837753663300957E-3</v>
      </c>
      <c r="H159" s="17">
        <f t="shared" si="14"/>
        <v>2.393668989132822E-2</v>
      </c>
    </row>
    <row r="160" spans="1:8" x14ac:dyDescent="0.25">
      <c r="A160" s="2">
        <v>43142</v>
      </c>
      <c r="B160" s="1">
        <v>35.65</v>
      </c>
      <c r="C160" s="6">
        <f t="shared" si="11"/>
        <v>-1.1207621182403797E-3</v>
      </c>
      <c r="D160" s="6">
        <f t="shared" si="10"/>
        <v>-1.121390641764047E-3</v>
      </c>
      <c r="E160" s="14">
        <f t="shared" si="13"/>
        <v>33.444399999999995</v>
      </c>
      <c r="G160" s="11">
        <f t="shared" si="12"/>
        <v>-5.1613284969049241E-3</v>
      </c>
      <c r="H160" s="17">
        <f t="shared" si="14"/>
        <v>1.641926573140054E-2</v>
      </c>
    </row>
    <row r="161" spans="1:8" x14ac:dyDescent="0.25">
      <c r="A161" s="2">
        <v>43231</v>
      </c>
      <c r="B161" s="1">
        <v>35.15</v>
      </c>
      <c r="C161" s="6">
        <f t="shared" si="11"/>
        <v>-1.4025245441795233E-2</v>
      </c>
      <c r="D161" s="6">
        <f t="shared" si="10"/>
        <v>-1.4124528603631089E-2</v>
      </c>
      <c r="E161" s="14">
        <f t="shared" si="13"/>
        <v>33.295599999999993</v>
      </c>
      <c r="G161" s="11">
        <f t="shared" si="12"/>
        <v>-4.023925064298323E-3</v>
      </c>
      <c r="H161" s="17">
        <f t="shared" si="14"/>
        <v>7.2561274308910514E-3</v>
      </c>
    </row>
    <row r="162" spans="1:8" x14ac:dyDescent="0.25">
      <c r="A162" s="2">
        <v>43262</v>
      </c>
      <c r="B162" s="1">
        <v>34.61</v>
      </c>
      <c r="C162" s="6">
        <f t="shared" si="11"/>
        <v>-1.5362731152204812E-2</v>
      </c>
      <c r="D162" s="6">
        <f t="shared" si="10"/>
        <v>-1.5481960609420956E-2</v>
      </c>
      <c r="E162" s="14">
        <f t="shared" si="13"/>
        <v>33.168799999999997</v>
      </c>
      <c r="G162" s="11">
        <f t="shared" si="12"/>
        <v>-3.5054881770444344E-3</v>
      </c>
      <c r="H162" s="17">
        <f t="shared" si="14"/>
        <v>4.3470101879744885E-4</v>
      </c>
    </row>
    <row r="163" spans="1:8" x14ac:dyDescent="0.25">
      <c r="A163" s="2">
        <v>43292</v>
      </c>
      <c r="B163" s="1">
        <v>36.380000000000003</v>
      </c>
      <c r="C163" s="6">
        <f t="shared" si="11"/>
        <v>5.1141288644900411E-2</v>
      </c>
      <c r="D163" s="6">
        <f t="shared" si="10"/>
        <v>4.9876515442723299E-2</v>
      </c>
      <c r="E163" s="14">
        <f t="shared" si="13"/>
        <v>33.100799999999992</v>
      </c>
      <c r="G163" s="11">
        <f t="shared" si="12"/>
        <v>-1.8268014733275411E-3</v>
      </c>
      <c r="H163" s="17">
        <f t="shared" si="14"/>
        <v>1.5267245345975202E-2</v>
      </c>
    </row>
    <row r="164" spans="1:8" x14ac:dyDescent="0.25">
      <c r="A164" s="2">
        <v>43323</v>
      </c>
      <c r="B164" s="1">
        <v>36.270000000000003</v>
      </c>
      <c r="C164" s="6">
        <f t="shared" si="11"/>
        <v>-3.0236393622869551E-3</v>
      </c>
      <c r="D164" s="6">
        <f t="shared" si="10"/>
        <v>-3.0282197951652279E-3</v>
      </c>
      <c r="E164" s="14">
        <f t="shared" si="13"/>
        <v>33.063199999999988</v>
      </c>
      <c r="G164" s="11">
        <f t="shared" si="12"/>
        <v>-1.023463562548816E-3</v>
      </c>
      <c r="H164" s="17">
        <f t="shared" si="14"/>
        <v>9.7786058036330725E-3</v>
      </c>
    </row>
    <row r="165" spans="1:8" x14ac:dyDescent="0.25">
      <c r="A165" s="2">
        <v>43354</v>
      </c>
      <c r="B165" s="1">
        <v>35.64</v>
      </c>
      <c r="C165" s="6">
        <f t="shared" si="11"/>
        <v>-1.7369727047146472E-2</v>
      </c>
      <c r="D165" s="6">
        <f t="shared" si="10"/>
        <v>-1.7522350692202489E-2</v>
      </c>
      <c r="E165" s="14">
        <f t="shared" si="13"/>
        <v>33.058399999999999</v>
      </c>
      <c r="G165" s="11">
        <f t="shared" si="12"/>
        <v>-1.3445390810820537E-4</v>
      </c>
      <c r="H165" s="17">
        <f t="shared" si="14"/>
        <v>1.5883188548824036E-3</v>
      </c>
    </row>
    <row r="166" spans="1:8" x14ac:dyDescent="0.25">
      <c r="A166" s="2">
        <v>43445</v>
      </c>
      <c r="B166" s="1">
        <v>36.270000000000003</v>
      </c>
      <c r="C166" s="6">
        <f t="shared" si="11"/>
        <v>1.7676767676767749E-2</v>
      </c>
      <c r="D166" s="6">
        <f t="shared" si="10"/>
        <v>1.7522350692202492E-2</v>
      </c>
      <c r="E166" s="14">
        <f t="shared" si="13"/>
        <v>33.099999999999994</v>
      </c>
      <c r="G166" s="11">
        <f t="shared" si="12"/>
        <v>1.163718437666579E-3</v>
      </c>
      <c r="H166" s="17">
        <f t="shared" si="14"/>
        <v>6.3685284060784296E-3</v>
      </c>
    </row>
    <row r="167" spans="1:8" x14ac:dyDescent="0.25">
      <c r="A167" s="1" t="s">
        <v>99</v>
      </c>
      <c r="B167" s="1">
        <v>37.18</v>
      </c>
      <c r="C167" s="6">
        <f t="shared" si="11"/>
        <v>2.5089605734766929E-2</v>
      </c>
      <c r="D167" s="6">
        <f t="shared" si="10"/>
        <v>2.4780028998486865E-2</v>
      </c>
      <c r="E167" s="14">
        <f t="shared" si="13"/>
        <v>33.269999999999989</v>
      </c>
      <c r="G167" s="11">
        <f t="shared" si="12"/>
        <v>4.855475436200983E-3</v>
      </c>
      <c r="H167" s="17">
        <f t="shared" si="14"/>
        <v>1.189197858380096E-2</v>
      </c>
    </row>
    <row r="168" spans="1:8" x14ac:dyDescent="0.25">
      <c r="A168" s="1" t="s">
        <v>100</v>
      </c>
      <c r="B168" s="1">
        <v>37.5</v>
      </c>
      <c r="C168" s="6">
        <f t="shared" si="11"/>
        <v>8.6067778375470763E-3</v>
      </c>
      <c r="D168" s="6">
        <f t="shared" si="10"/>
        <v>8.5699506830672571E-3</v>
      </c>
      <c r="E168" s="14">
        <f t="shared" si="13"/>
        <v>33.529199999999996</v>
      </c>
      <c r="G168" s="11">
        <f t="shared" si="12"/>
        <v>7.5883510091188768E-3</v>
      </c>
      <c r="H168" s="17">
        <f t="shared" si="14"/>
        <v>1.0895370213580849E-2</v>
      </c>
    </row>
    <row r="169" spans="1:8" x14ac:dyDescent="0.25">
      <c r="A169" s="1" t="s">
        <v>101</v>
      </c>
      <c r="B169" s="1">
        <v>37.22</v>
      </c>
      <c r="C169" s="6">
        <f t="shared" si="11"/>
        <v>-7.4666666666666969E-3</v>
      </c>
      <c r="D169" s="6">
        <f t="shared" si="10"/>
        <v>-7.4946817622604991E-3</v>
      </c>
      <c r="E169" s="14">
        <f t="shared" si="13"/>
        <v>33.790399999999998</v>
      </c>
      <c r="G169" s="11">
        <f t="shared" si="12"/>
        <v>7.7163753032983727E-3</v>
      </c>
      <c r="H169" s="17">
        <f t="shared" si="14"/>
        <v>5.3783546208284443E-3</v>
      </c>
    </row>
    <row r="170" spans="1:8" x14ac:dyDescent="0.25">
      <c r="A170" s="1" t="s">
        <v>102</v>
      </c>
      <c r="B170" s="1">
        <v>36.17</v>
      </c>
      <c r="C170" s="6">
        <f t="shared" si="11"/>
        <v>-2.821063944116059E-2</v>
      </c>
      <c r="D170" s="6">
        <f t="shared" si="10"/>
        <v>-2.8616205250098097E-2</v>
      </c>
      <c r="E170" s="14">
        <f t="shared" si="13"/>
        <v>34.023999999999994</v>
      </c>
      <c r="G170" s="11">
        <f t="shared" si="12"/>
        <v>7.0437089705406549E-3</v>
      </c>
      <c r="H170" s="17">
        <f t="shared" si="14"/>
        <v>-4.820013340449519E-3</v>
      </c>
    </row>
    <row r="171" spans="1:8" x14ac:dyDescent="0.25">
      <c r="A171" s="1" t="s">
        <v>103</v>
      </c>
      <c r="B171" s="1">
        <v>35.25</v>
      </c>
      <c r="C171" s="6">
        <f t="shared" si="11"/>
        <v>-2.5435443737904385E-2</v>
      </c>
      <c r="D171" s="6">
        <f t="shared" si="10"/>
        <v>-2.5764516705728987E-2</v>
      </c>
      <c r="E171" s="14">
        <f t="shared" si="13"/>
        <v>34.186399999999992</v>
      </c>
      <c r="G171" s="11">
        <f t="shared" si="12"/>
        <v>4.8947199455426109E-3</v>
      </c>
      <c r="H171" s="17">
        <f t="shared" si="14"/>
        <v>-1.1103364350033359E-2</v>
      </c>
    </row>
    <row r="172" spans="1:8" x14ac:dyDescent="0.25">
      <c r="A172" s="1" t="s">
        <v>104</v>
      </c>
      <c r="B172" s="1">
        <v>35.020000000000003</v>
      </c>
      <c r="C172" s="6">
        <f t="shared" si="11"/>
        <v>-6.5248226950353726E-3</v>
      </c>
      <c r="D172" s="6">
        <f t="shared" si="10"/>
        <v>-6.5462024005718093E-3</v>
      </c>
      <c r="E172" s="14">
        <f t="shared" si="13"/>
        <v>34.280799999999992</v>
      </c>
      <c r="G172" s="11">
        <f t="shared" si="12"/>
        <v>2.7907295726154603E-3</v>
      </c>
      <c r="H172" s="17">
        <f t="shared" si="14"/>
        <v>-9.736215765194893E-3</v>
      </c>
    </row>
    <row r="173" spans="1:8" x14ac:dyDescent="0.25">
      <c r="A173" s="1" t="s">
        <v>105</v>
      </c>
      <c r="B173" s="1">
        <v>35.729999999999997</v>
      </c>
      <c r="C173" s="6">
        <f t="shared" si="11"/>
        <v>2.027412906910319E-2</v>
      </c>
      <c r="D173" s="6">
        <f t="shared" si="10"/>
        <v>2.0071345177612356E-2</v>
      </c>
      <c r="E173" s="14">
        <f t="shared" si="13"/>
        <v>34.392399999999995</v>
      </c>
      <c r="G173" s="11">
        <f t="shared" si="12"/>
        <v>3.252117891432948E-3</v>
      </c>
      <c r="H173" s="17">
        <f t="shared" si="14"/>
        <v>-7.9394748235271824E-4</v>
      </c>
    </row>
    <row r="174" spans="1:8" x14ac:dyDescent="0.25">
      <c r="A174" s="1" t="s">
        <v>106</v>
      </c>
      <c r="B174" s="1">
        <v>37.35</v>
      </c>
      <c r="C174" s="6">
        <f t="shared" si="11"/>
        <v>4.5340050377833882E-2</v>
      </c>
      <c r="D174" s="6">
        <f t="shared" si="10"/>
        <v>4.4342239543507966E-2</v>
      </c>
      <c r="E174" s="14">
        <f t="shared" si="13"/>
        <v>34.628</v>
      </c>
      <c r="G174" s="11">
        <f t="shared" si="12"/>
        <v>6.8646405579477609E-3</v>
      </c>
      <c r="H174" s="17">
        <f t="shared" si="14"/>
        <v>1.2746908625405487E-2</v>
      </c>
    </row>
    <row r="175" spans="1:8" x14ac:dyDescent="0.25">
      <c r="A175" s="1" t="s">
        <v>107</v>
      </c>
      <c r="B175" s="1">
        <v>37.49</v>
      </c>
      <c r="C175" s="6">
        <f t="shared" si="11"/>
        <v>3.7483266398929201E-3</v>
      </c>
      <c r="D175" s="6">
        <f t="shared" si="10"/>
        <v>3.7413191689944347E-3</v>
      </c>
      <c r="E175" s="14">
        <f t="shared" si="13"/>
        <v>34.869999999999997</v>
      </c>
      <c r="G175" s="11">
        <f t="shared" si="12"/>
        <v>7.0397305274725744E-3</v>
      </c>
      <c r="H175" s="17">
        <f t="shared" si="14"/>
        <v>1.004523178848217E-2</v>
      </c>
    </row>
    <row r="176" spans="1:8" x14ac:dyDescent="0.25">
      <c r="A176" s="1" t="s">
        <v>108</v>
      </c>
      <c r="B176" s="1">
        <v>37.68</v>
      </c>
      <c r="C176" s="6">
        <f t="shared" si="11"/>
        <v>5.0680181381701174E-3</v>
      </c>
      <c r="D176" s="6">
        <f t="shared" si="10"/>
        <v>5.0552189603416233E-3</v>
      </c>
      <c r="E176" s="14">
        <f t="shared" si="13"/>
        <v>35.114799999999995</v>
      </c>
      <c r="G176" s="11">
        <f t="shared" si="12"/>
        <v>7.0895581492195336E-3</v>
      </c>
      <c r="H176" s="17">
        <f t="shared" si="14"/>
        <v>8.5482279400400062E-3</v>
      </c>
    </row>
    <row r="177" spans="1:8" x14ac:dyDescent="0.25">
      <c r="A177" s="1" t="s">
        <v>109</v>
      </c>
      <c r="B177" s="1">
        <v>38.32</v>
      </c>
      <c r="C177" s="6">
        <f t="shared" si="11"/>
        <v>1.6985138004246298E-2</v>
      </c>
      <c r="D177" s="6">
        <f t="shared" si="10"/>
        <v>1.6842503394497482E-2</v>
      </c>
      <c r="E177" s="14">
        <f t="shared" si="13"/>
        <v>35.376399999999997</v>
      </c>
      <c r="G177" s="11">
        <f t="shared" si="12"/>
        <v>7.4853916797635736E-3</v>
      </c>
      <c r="H177" s="17">
        <f t="shared" si="14"/>
        <v>1.1036510576377247E-2</v>
      </c>
    </row>
    <row r="178" spans="1:8" x14ac:dyDescent="0.25">
      <c r="A178" s="1" t="s">
        <v>110</v>
      </c>
      <c r="B178" s="1">
        <v>37.81</v>
      </c>
      <c r="C178" s="6">
        <f t="shared" si="11"/>
        <v>-1.3308977035490553E-2</v>
      </c>
      <c r="D178" s="6">
        <f t="shared" si="10"/>
        <v>-1.3398335199818201E-2</v>
      </c>
      <c r="E178" s="14">
        <f t="shared" si="13"/>
        <v>35.697600000000001</v>
      </c>
      <c r="G178" s="11">
        <f t="shared" si="12"/>
        <v>9.5494636258791239E-3</v>
      </c>
      <c r="H178" s="17">
        <f t="shared" si="14"/>
        <v>3.7060568435186127E-3</v>
      </c>
    </row>
    <row r="179" spans="1:8" x14ac:dyDescent="0.25">
      <c r="A179" s="1" t="s">
        <v>111</v>
      </c>
      <c r="B179" s="1">
        <v>39.520000000000003</v>
      </c>
      <c r="C179" s="6">
        <f t="shared" si="11"/>
        <v>4.5226130653266354E-2</v>
      </c>
      <c r="D179" s="6">
        <f t="shared" si="10"/>
        <v>4.4233254976825662E-2</v>
      </c>
      <c r="E179" s="14">
        <f t="shared" si="13"/>
        <v>36.007599999999996</v>
      </c>
      <c r="G179" s="11">
        <f t="shared" si="12"/>
        <v>8.7313769839296815E-3</v>
      </c>
      <c r="H179" s="17">
        <f t="shared" si="14"/>
        <v>1.5864216283510726E-2</v>
      </c>
    </row>
    <row r="180" spans="1:8" x14ac:dyDescent="0.25">
      <c r="A180" s="2">
        <v>43171</v>
      </c>
      <c r="B180" s="1">
        <v>39.020000000000003</v>
      </c>
      <c r="C180" s="6">
        <f t="shared" si="11"/>
        <v>-1.2651821862348178E-2</v>
      </c>
      <c r="D180" s="6">
        <f t="shared" si="10"/>
        <v>-1.2732537684701879E-2</v>
      </c>
      <c r="E180" s="14">
        <f t="shared" si="13"/>
        <v>36.293999999999997</v>
      </c>
      <c r="G180" s="11">
        <f t="shared" si="12"/>
        <v>8.1089212285225028E-3</v>
      </c>
      <c r="H180" s="17">
        <f t="shared" si="14"/>
        <v>7.285190093046943E-3</v>
      </c>
    </row>
    <row r="181" spans="1:8" x14ac:dyDescent="0.25">
      <c r="A181" s="2">
        <v>43202</v>
      </c>
      <c r="B181" s="1">
        <v>36.11</v>
      </c>
      <c r="C181" s="6">
        <f t="shared" si="11"/>
        <v>-7.4577139928242012E-2</v>
      </c>
      <c r="D181" s="6">
        <f t="shared" si="10"/>
        <v>-7.750449990559885E-2</v>
      </c>
      <c r="E181" s="14">
        <f t="shared" si="13"/>
        <v>36.458800000000004</v>
      </c>
      <c r="G181" s="11">
        <f t="shared" si="12"/>
        <v>4.8458592531175817E-3</v>
      </c>
      <c r="H181" s="17">
        <f t="shared" si="14"/>
        <v>-1.8151716906546794E-2</v>
      </c>
    </row>
    <row r="182" spans="1:8" x14ac:dyDescent="0.25">
      <c r="A182" s="2">
        <v>43263</v>
      </c>
      <c r="B182" s="1">
        <v>36.35</v>
      </c>
      <c r="C182" s="6">
        <f t="shared" si="11"/>
        <v>6.6463583494877319E-3</v>
      </c>
      <c r="D182" s="6">
        <f t="shared" si="10"/>
        <v>6.6243686901621057E-3</v>
      </c>
      <c r="E182" s="14">
        <f t="shared" si="13"/>
        <v>36.552400000000006</v>
      </c>
      <c r="G182" s="11">
        <f t="shared" si="12"/>
        <v>2.6615841984169715E-3</v>
      </c>
      <c r="H182" s="17">
        <f t="shared" si="14"/>
        <v>-1.0718891227534125E-2</v>
      </c>
    </row>
    <row r="183" spans="1:8" x14ac:dyDescent="0.25">
      <c r="A183" s="2">
        <v>43293</v>
      </c>
      <c r="B183" s="1">
        <v>33.04</v>
      </c>
      <c r="C183" s="6">
        <f t="shared" si="11"/>
        <v>-9.1059147180192632E-2</v>
      </c>
      <c r="D183" s="6">
        <f t="shared" si="10"/>
        <v>-9.547525532675108E-2</v>
      </c>
      <c r="E183" s="14">
        <f t="shared" si="13"/>
        <v>36.4968</v>
      </c>
      <c r="G183" s="11">
        <f t="shared" si="12"/>
        <v>-1.6483731479062017E-3</v>
      </c>
      <c r="H183" s="17">
        <f t="shared" si="14"/>
        <v>-3.6145800457299211E-2</v>
      </c>
    </row>
    <row r="184" spans="1:8" x14ac:dyDescent="0.25">
      <c r="A184" s="2">
        <v>43385</v>
      </c>
      <c r="B184" s="1">
        <v>33.299999999999997</v>
      </c>
      <c r="C184" s="6">
        <f t="shared" si="11"/>
        <v>7.8692493946730634E-3</v>
      </c>
      <c r="D184" s="6">
        <f t="shared" si="10"/>
        <v>7.8384483336207435E-3</v>
      </c>
      <c r="E184" s="14">
        <f t="shared" si="13"/>
        <v>36.401199999999996</v>
      </c>
      <c r="G184" s="11">
        <f t="shared" si="12"/>
        <v>-2.7725256206268369E-3</v>
      </c>
      <c r="H184" s="17">
        <f t="shared" si="14"/>
        <v>-2.2950525820023222E-2</v>
      </c>
    </row>
    <row r="185" spans="1:8" x14ac:dyDescent="0.25">
      <c r="A185" s="2">
        <v>43416</v>
      </c>
      <c r="B185" s="1">
        <v>33.56</v>
      </c>
      <c r="C185" s="6">
        <f t="shared" si="11"/>
        <v>7.807807807807962E-3</v>
      </c>
      <c r="D185" s="6">
        <f t="shared" si="10"/>
        <v>7.7774846126073523E-3</v>
      </c>
      <c r="E185" s="14">
        <f t="shared" si="13"/>
        <v>36.317599999999992</v>
      </c>
      <c r="G185" s="11">
        <f t="shared" si="12"/>
        <v>-2.4165706104519813E-3</v>
      </c>
      <c r="H185" s="17">
        <f t="shared" si="14"/>
        <v>-1.373212269023405E-2</v>
      </c>
    </row>
    <row r="186" spans="1:8" x14ac:dyDescent="0.25">
      <c r="A186" s="2">
        <v>43446</v>
      </c>
      <c r="B186" s="1">
        <v>33.799999999999997</v>
      </c>
      <c r="C186" s="6">
        <f t="shared" si="11"/>
        <v>7.1513706793800615E-3</v>
      </c>
      <c r="D186" s="6">
        <f t="shared" si="10"/>
        <v>7.1259208899674435E-3</v>
      </c>
      <c r="E186" s="14">
        <f t="shared" si="13"/>
        <v>36.263599999999997</v>
      </c>
      <c r="G186" s="11">
        <f t="shared" si="12"/>
        <v>-1.5665526307080395E-3</v>
      </c>
      <c r="H186" s="17">
        <f t="shared" si="14"/>
        <v>-7.4747096161736012E-3</v>
      </c>
    </row>
    <row r="187" spans="1:8" x14ac:dyDescent="0.25">
      <c r="A187" s="1" t="s">
        <v>112</v>
      </c>
      <c r="B187" s="1">
        <v>31.94</v>
      </c>
      <c r="C187" s="6">
        <f t="shared" si="11"/>
        <v>-5.5029585798816449E-2</v>
      </c>
      <c r="D187" s="6">
        <f t="shared" si="10"/>
        <v>-5.6601659702106594E-2</v>
      </c>
      <c r="E187" s="14">
        <f t="shared" si="13"/>
        <v>36.156800000000004</v>
      </c>
      <c r="G187" s="11">
        <f t="shared" si="12"/>
        <v>-3.2113405944154657E-3</v>
      </c>
      <c r="H187" s="17">
        <f t="shared" si="14"/>
        <v>-2.2212794641953498E-2</v>
      </c>
    </row>
    <row r="188" spans="1:8" x14ac:dyDescent="0.25">
      <c r="A188" s="1" t="s">
        <v>113</v>
      </c>
      <c r="B188" s="1">
        <v>31.89</v>
      </c>
      <c r="C188" s="6">
        <f t="shared" si="11"/>
        <v>-1.5654351909831154E-3</v>
      </c>
      <c r="D188" s="6">
        <f t="shared" si="10"/>
        <v>-1.5666617649000966E-3</v>
      </c>
      <c r="E188" s="14">
        <f t="shared" si="13"/>
        <v>35.977199999999996</v>
      </c>
      <c r="G188" s="11">
        <f t="shared" si="12"/>
        <v>-5.2690676827204016E-3</v>
      </c>
      <c r="H188" s="17">
        <f t="shared" si="14"/>
        <v>-1.6018954778837476E-2</v>
      </c>
    </row>
    <row r="189" spans="1:8" x14ac:dyDescent="0.25">
      <c r="A189" s="1" t="s">
        <v>114</v>
      </c>
      <c r="B189" s="1">
        <v>31.53</v>
      </c>
      <c r="C189" s="6">
        <f t="shared" si="11"/>
        <v>-1.1288805268109107E-2</v>
      </c>
      <c r="D189" s="6">
        <f t="shared" si="10"/>
        <v>-1.1353007464996836E-2</v>
      </c>
      <c r="E189" s="14">
        <f t="shared" si="13"/>
        <v>35.787599999999998</v>
      </c>
      <c r="G189" s="11">
        <f t="shared" si="12"/>
        <v>-5.6020591895136647E-3</v>
      </c>
      <c r="H189" s="17">
        <f t="shared" si="14"/>
        <v>-1.4619170584685284E-2</v>
      </c>
    </row>
    <row r="190" spans="1:8" x14ac:dyDescent="0.25">
      <c r="A190" s="1" t="s">
        <v>115</v>
      </c>
      <c r="B190" s="1">
        <v>33.01</v>
      </c>
      <c r="C190" s="6">
        <f t="shared" si="11"/>
        <v>4.6939422771963106E-2</v>
      </c>
      <c r="D190" s="6">
        <f t="shared" si="10"/>
        <v>4.5871072308132053E-2</v>
      </c>
      <c r="E190" s="14">
        <f t="shared" si="13"/>
        <v>35.682400000000001</v>
      </c>
      <c r="G190" s="11">
        <f t="shared" si="12"/>
        <v>-3.0663222695002834E-3</v>
      </c>
      <c r="H190" s="17">
        <f t="shared" si="14"/>
        <v>3.5279022831599186E-3</v>
      </c>
    </row>
    <row r="191" spans="1:8" x14ac:dyDescent="0.25">
      <c r="A191" s="1" t="s">
        <v>116</v>
      </c>
      <c r="B191" s="1">
        <v>31.9</v>
      </c>
      <c r="C191" s="6">
        <f t="shared" si="11"/>
        <v>-3.3626173886700986E-2</v>
      </c>
      <c r="D191" s="6">
        <f t="shared" si="10"/>
        <v>-3.4204536074302731E-2</v>
      </c>
      <c r="E191" s="14">
        <f t="shared" si="13"/>
        <v>35.507599999999996</v>
      </c>
      <c r="G191" s="11">
        <f t="shared" si="12"/>
        <v>-5.1353977401604935E-3</v>
      </c>
      <c r="H191" s="17">
        <f t="shared" si="14"/>
        <v>-7.7918292240788771E-3</v>
      </c>
    </row>
    <row r="192" spans="1:8" x14ac:dyDescent="0.25">
      <c r="A192" s="1" t="s">
        <v>117</v>
      </c>
      <c r="B192" s="1">
        <v>31.38</v>
      </c>
      <c r="C192" s="6">
        <f t="shared" si="11"/>
        <v>-1.630094043887146E-2</v>
      </c>
      <c r="D192" s="6">
        <f t="shared" si="10"/>
        <v>-1.6435262485912306E-2</v>
      </c>
      <c r="E192" s="14">
        <f t="shared" si="13"/>
        <v>35.27559999999999</v>
      </c>
      <c r="G192" s="11">
        <f t="shared" si="12"/>
        <v>-6.7840093995364592E-3</v>
      </c>
      <c r="H192" s="17">
        <f t="shared" si="14"/>
        <v>-1.0384859202628906E-2</v>
      </c>
    </row>
    <row r="193" spans="1:8" x14ac:dyDescent="0.25">
      <c r="A193" s="1" t="s">
        <v>118</v>
      </c>
      <c r="B193" s="1">
        <v>30.29</v>
      </c>
      <c r="C193" s="6">
        <f t="shared" si="11"/>
        <v>-3.4735500318674312E-2</v>
      </c>
      <c r="D193" s="6">
        <f t="shared" si="10"/>
        <v>-3.5353122265740625E-2</v>
      </c>
      <c r="E193" s="14">
        <f t="shared" si="13"/>
        <v>34.987199999999987</v>
      </c>
      <c r="G193" s="11">
        <f t="shared" si="12"/>
        <v>-8.5409323174887759E-3</v>
      </c>
      <c r="H193" s="17">
        <f t="shared" si="14"/>
        <v>-1.7875338121562421E-2</v>
      </c>
    </row>
    <row r="194" spans="1:8" x14ac:dyDescent="0.25">
      <c r="A194" s="1" t="s">
        <v>119</v>
      </c>
      <c r="B194" s="1">
        <v>29.25</v>
      </c>
      <c r="C194" s="6">
        <f t="shared" si="11"/>
        <v>-3.4334763948497826E-2</v>
      </c>
      <c r="D194" s="6">
        <f t="shared" si="10"/>
        <v>-3.4938051361280462E-2</v>
      </c>
      <c r="E194" s="14">
        <f t="shared" si="13"/>
        <v>34.668399999999998</v>
      </c>
      <c r="G194" s="11">
        <f t="shared" si="12"/>
        <v>-9.6386671014495745E-3</v>
      </c>
      <c r="H194" s="17">
        <f t="shared" si="14"/>
        <v>-2.2994152093477833E-2</v>
      </c>
    </row>
    <row r="195" spans="1:8" x14ac:dyDescent="0.25">
      <c r="A195" s="1" t="s">
        <v>120</v>
      </c>
      <c r="B195" s="1">
        <v>31.78</v>
      </c>
      <c r="C195" s="6">
        <f t="shared" si="11"/>
        <v>8.6495726495726538E-2</v>
      </c>
      <c r="D195" s="6">
        <f t="shared" si="10"/>
        <v>8.2957587430704388E-2</v>
      </c>
      <c r="E195" s="14">
        <f t="shared" si="13"/>
        <v>34.492799999999995</v>
      </c>
      <c r="G195" s="11">
        <f t="shared" si="12"/>
        <v>-5.1757153942174764E-3</v>
      </c>
      <c r="H195" s="17">
        <f t="shared" si="14"/>
        <v>8.7913697637768337E-3</v>
      </c>
    </row>
    <row r="196" spans="1:8" x14ac:dyDescent="0.25">
      <c r="A196" s="1" t="s">
        <v>121</v>
      </c>
      <c r="B196" s="1">
        <v>31.53</v>
      </c>
      <c r="C196" s="6">
        <f t="shared" si="11"/>
        <v>-7.866582756450597E-3</v>
      </c>
      <c r="D196" s="6">
        <f t="shared" si="10"/>
        <v>-7.897687551600455E-3</v>
      </c>
      <c r="E196" s="14">
        <f t="shared" si="13"/>
        <v>34.343999999999994</v>
      </c>
      <c r="G196" s="11">
        <f t="shared" si="12"/>
        <v>-4.4610422280523324E-3</v>
      </c>
      <c r="H196" s="17">
        <f t="shared" si="14"/>
        <v>3.7846525691636467E-3</v>
      </c>
    </row>
    <row r="197" spans="1:8" x14ac:dyDescent="0.25">
      <c r="A197" s="1" t="s">
        <v>122</v>
      </c>
      <c r="B197" s="1">
        <v>31.32</v>
      </c>
      <c r="C197" s="6">
        <f t="shared" si="11"/>
        <v>-6.6603235014272393E-3</v>
      </c>
      <c r="D197" s="6">
        <f t="shared" ref="D197:D260" si="15">LN(B197/B196)</f>
        <v>-6.6826024343670859E-3</v>
      </c>
      <c r="E197" s="14">
        <f t="shared" si="13"/>
        <v>34.195999999999998</v>
      </c>
      <c r="G197" s="11">
        <f t="shared" si="12"/>
        <v>-4.4664982294041443E-3</v>
      </c>
      <c r="H197" s="17">
        <f t="shared" si="14"/>
        <v>6.4447606810442678E-4</v>
      </c>
    </row>
    <row r="198" spans="1:8" x14ac:dyDescent="0.25">
      <c r="A198" s="1" t="s">
        <v>123</v>
      </c>
      <c r="B198" s="1">
        <v>31.6</v>
      </c>
      <c r="C198" s="6">
        <f t="shared" ref="C198:C261" si="16">(B198-B197)/B197</f>
        <v>8.9399744572158726E-3</v>
      </c>
      <c r="D198" s="6">
        <f t="shared" si="15"/>
        <v>8.9002494702640784E-3</v>
      </c>
      <c r="E198" s="14">
        <f t="shared" si="13"/>
        <v>34.030799999999999</v>
      </c>
      <c r="G198" s="11">
        <f t="shared" si="12"/>
        <v>-4.9133420576980757E-3</v>
      </c>
      <c r="H198" s="17">
        <f t="shared" si="14"/>
        <v>3.1212080887523222E-3</v>
      </c>
    </row>
    <row r="199" spans="1:8" x14ac:dyDescent="0.25">
      <c r="A199" s="2">
        <v>43497</v>
      </c>
      <c r="B199" s="1">
        <v>31.96</v>
      </c>
      <c r="C199" s="6">
        <f t="shared" si="16"/>
        <v>1.139240506329112E-2</v>
      </c>
      <c r="D199" s="6">
        <f t="shared" si="15"/>
        <v>1.132800030520755E-2</v>
      </c>
      <c r="E199" s="14">
        <f t="shared" si="13"/>
        <v>33.815200000000004</v>
      </c>
      <c r="G199" s="11">
        <f t="shared" si="12"/>
        <v>-6.2339116272300925E-3</v>
      </c>
      <c r="H199" s="17">
        <f t="shared" si="14"/>
        <v>5.5832457536888905E-3</v>
      </c>
    </row>
    <row r="200" spans="1:8" x14ac:dyDescent="0.25">
      <c r="A200" s="2">
        <v>43525</v>
      </c>
      <c r="B200" s="1">
        <v>29.58</v>
      </c>
      <c r="C200" s="6">
        <f t="shared" si="16"/>
        <v>-7.4468085106383058E-2</v>
      </c>
      <c r="D200" s="6">
        <f t="shared" si="15"/>
        <v>-7.7386663615420237E-2</v>
      </c>
      <c r="E200" s="14">
        <f t="shared" si="13"/>
        <v>33.498800000000003</v>
      </c>
      <c r="G200" s="11">
        <f t="shared" si="12"/>
        <v>-9.4790309386066796E-3</v>
      </c>
      <c r="H200" s="17">
        <f t="shared" si="14"/>
        <v>-1.9307727057043849E-2</v>
      </c>
    </row>
    <row r="201" spans="1:8" x14ac:dyDescent="0.25">
      <c r="A201" s="2">
        <v>43556</v>
      </c>
      <c r="B201" s="1">
        <v>31.53</v>
      </c>
      <c r="C201" s="6">
        <f t="shared" si="16"/>
        <v>6.5922920892495032E-2</v>
      </c>
      <c r="D201" s="6">
        <f t="shared" si="15"/>
        <v>6.3841016274315737E-2</v>
      </c>
      <c r="E201" s="14">
        <f t="shared" si="13"/>
        <v>33.252800000000001</v>
      </c>
      <c r="G201" s="11">
        <f t="shared" si="12"/>
        <v>-7.1275990460477143E-3</v>
      </c>
      <c r="H201" s="17">
        <f t="shared" si="14"/>
        <v>5.6368959423640282E-3</v>
      </c>
    </row>
    <row r="202" spans="1:8" x14ac:dyDescent="0.25">
      <c r="A202" s="2">
        <v>43647</v>
      </c>
      <c r="B202" s="1">
        <v>32.43</v>
      </c>
      <c r="C202" s="6">
        <f t="shared" si="16"/>
        <v>2.8544243577545148E-2</v>
      </c>
      <c r="D202" s="6">
        <f t="shared" si="15"/>
        <v>2.8144446762257105E-2</v>
      </c>
      <c r="E202" s="14">
        <f t="shared" si="13"/>
        <v>33.017199999999995</v>
      </c>
      <c r="G202" s="11">
        <f t="shared" si="12"/>
        <v>-6.6755213113373294E-3</v>
      </c>
      <c r="H202" s="17">
        <f t="shared" si="14"/>
        <v>1.238916118833195E-2</v>
      </c>
    </row>
    <row r="203" spans="1:8" x14ac:dyDescent="0.25">
      <c r="A203" s="2">
        <v>43678</v>
      </c>
      <c r="B203" s="1">
        <v>31.9</v>
      </c>
      <c r="C203" s="6">
        <f t="shared" si="16"/>
        <v>-1.6342892383595473E-2</v>
      </c>
      <c r="D203" s="6">
        <f t="shared" si="15"/>
        <v>-1.647791052842771E-2</v>
      </c>
      <c r="E203" s="14">
        <f t="shared" si="13"/>
        <v>32.780799999999992</v>
      </c>
      <c r="G203" s="11">
        <f t="shared" si="12"/>
        <v>-6.798704324481708E-3</v>
      </c>
      <c r="H203" s="17">
        <f t="shared" si="14"/>
        <v>3.7290396733040514E-3</v>
      </c>
    </row>
    <row r="204" spans="1:8" x14ac:dyDescent="0.25">
      <c r="A204" s="2">
        <v>43709</v>
      </c>
      <c r="B204" s="1">
        <v>32.89</v>
      </c>
      <c r="C204" s="6">
        <f t="shared" si="16"/>
        <v>3.1034482758620752E-2</v>
      </c>
      <c r="D204" s="6">
        <f t="shared" si="15"/>
        <v>3.0562650410166883E-2</v>
      </c>
      <c r="E204" s="14">
        <f t="shared" si="13"/>
        <v>32.515599999999999</v>
      </c>
      <c r="G204" s="11">
        <f t="shared" si="12"/>
        <v>-7.3455285071480601E-3</v>
      </c>
      <c r="H204" s="17">
        <f t="shared" si="14"/>
        <v>1.1779122894362901E-2</v>
      </c>
    </row>
    <row r="205" spans="1:8" x14ac:dyDescent="0.25">
      <c r="A205" s="2">
        <v>43739</v>
      </c>
      <c r="B205" s="1">
        <v>31.53</v>
      </c>
      <c r="C205" s="6">
        <f t="shared" si="16"/>
        <v>-4.1349954393432635E-2</v>
      </c>
      <c r="D205" s="6">
        <f t="shared" si="15"/>
        <v>-4.2229186643996081E-2</v>
      </c>
      <c r="E205" s="14">
        <f t="shared" si="13"/>
        <v>32.216000000000001</v>
      </c>
      <c r="G205" s="11">
        <f t="shared" si="12"/>
        <v>-8.5253944655198297E-3</v>
      </c>
      <c r="H205" s="17">
        <f t="shared" si="14"/>
        <v>-4.423369967144793E-3</v>
      </c>
    </row>
    <row r="206" spans="1:8" x14ac:dyDescent="0.25">
      <c r="A206" s="2">
        <v>43770</v>
      </c>
      <c r="B206" s="1">
        <v>31.29</v>
      </c>
      <c r="C206" s="6">
        <f t="shared" si="16"/>
        <v>-7.6117982873454481E-3</v>
      </c>
      <c r="D206" s="6">
        <f t="shared" si="15"/>
        <v>-7.6409158761787787E-3</v>
      </c>
      <c r="E206" s="14">
        <f t="shared" si="13"/>
        <v>32.023199999999996</v>
      </c>
      <c r="G206" s="11">
        <f t="shared" si="12"/>
        <v>-5.7308511043430268E-3</v>
      </c>
      <c r="H206" s="17">
        <f t="shared" si="14"/>
        <v>-5.3886337398549883E-3</v>
      </c>
    </row>
    <row r="207" spans="1:8" x14ac:dyDescent="0.25">
      <c r="A207" s="1" t="s">
        <v>124</v>
      </c>
      <c r="B207" s="1">
        <v>31.21</v>
      </c>
      <c r="C207" s="6">
        <f t="shared" si="16"/>
        <v>-2.5567273889420994E-3</v>
      </c>
      <c r="D207" s="6">
        <f t="shared" si="15"/>
        <v>-2.5600013981026352E-3</v>
      </c>
      <c r="E207" s="14">
        <f t="shared" si="13"/>
        <v>31.817599999999992</v>
      </c>
      <c r="G207" s="11">
        <f t="shared" si="12"/>
        <v>-6.0982259078736136E-3</v>
      </c>
      <c r="H207" s="17">
        <f t="shared" si="14"/>
        <v>-4.5400440373292821E-3</v>
      </c>
    </row>
    <row r="208" spans="1:8" x14ac:dyDescent="0.25">
      <c r="A208" s="1" t="s">
        <v>125</v>
      </c>
      <c r="B208" s="1">
        <v>31.59</v>
      </c>
      <c r="C208" s="6">
        <f t="shared" si="16"/>
        <v>1.2175584748478019E-2</v>
      </c>
      <c r="D208" s="6">
        <f t="shared" si="15"/>
        <v>1.210205853130584E-2</v>
      </c>
      <c r="E208" s="14">
        <f t="shared" si="13"/>
        <v>31.759599999999995</v>
      </c>
      <c r="G208" s="11">
        <f t="shared" si="12"/>
        <v>-1.7951333535513392E-3</v>
      </c>
      <c r="H208" s="17">
        <f t="shared" si="14"/>
        <v>4.5258673326125428E-4</v>
      </c>
    </row>
    <row r="209" spans="1:8" x14ac:dyDescent="0.25">
      <c r="A209" s="1" t="s">
        <v>126</v>
      </c>
      <c r="B209" s="1">
        <v>32.32</v>
      </c>
      <c r="C209" s="6">
        <f t="shared" si="16"/>
        <v>2.3108578664134235E-2</v>
      </c>
      <c r="D209" s="6">
        <f t="shared" si="15"/>
        <v>2.2845618838900877E-2</v>
      </c>
      <c r="E209" s="14">
        <f t="shared" si="13"/>
        <v>31.720399999999998</v>
      </c>
      <c r="G209" s="11">
        <f t="shared" si="12"/>
        <v>-1.1948465333401341E-3</v>
      </c>
      <c r="H209" s="17">
        <f t="shared" si="14"/>
        <v>7.1704963649531408E-3</v>
      </c>
    </row>
    <row r="210" spans="1:8" x14ac:dyDescent="0.25">
      <c r="A210" s="1" t="s">
        <v>127</v>
      </c>
      <c r="B210" s="1">
        <v>33.049999999999997</v>
      </c>
      <c r="C210" s="6">
        <f t="shared" si="16"/>
        <v>2.2586633663366239E-2</v>
      </c>
      <c r="D210" s="6">
        <f t="shared" si="15"/>
        <v>2.2335332644800546E-2</v>
      </c>
      <c r="E210" s="14">
        <f t="shared" si="13"/>
        <v>31.699999999999996</v>
      </c>
      <c r="G210" s="11">
        <f t="shared" si="12"/>
        <v>-6.1253261205240577E-4</v>
      </c>
      <c r="H210" s="17">
        <f t="shared" si="14"/>
        <v>1.1719947248907361E-2</v>
      </c>
    </row>
    <row r="211" spans="1:8" x14ac:dyDescent="0.25">
      <c r="A211" s="1" t="s">
        <v>128</v>
      </c>
      <c r="B211" s="1">
        <v>33.43</v>
      </c>
      <c r="C211" s="6">
        <f t="shared" si="16"/>
        <v>1.1497730711043951E-2</v>
      </c>
      <c r="D211" s="6">
        <f t="shared" si="15"/>
        <v>1.143213413431206E-2</v>
      </c>
      <c r="E211" s="14">
        <f t="shared" si="13"/>
        <v>31.685199999999998</v>
      </c>
      <c r="G211" s="11">
        <f t="shared" si="12"/>
        <v>-4.4028408227862021E-4</v>
      </c>
      <c r="H211" s="17">
        <f t="shared" si="14"/>
        <v>1.163360331452877E-2</v>
      </c>
    </row>
    <row r="212" spans="1:8" x14ac:dyDescent="0.25">
      <c r="A212" s="1" t="s">
        <v>129</v>
      </c>
      <c r="B212" s="1">
        <v>32.22</v>
      </c>
      <c r="C212" s="6">
        <f t="shared" si="16"/>
        <v>-3.6195034400239329E-2</v>
      </c>
      <c r="D212" s="6">
        <f t="shared" si="15"/>
        <v>-3.6866322683178916E-2</v>
      </c>
      <c r="E212" s="14">
        <f t="shared" si="13"/>
        <v>31.696399999999997</v>
      </c>
      <c r="G212" s="11">
        <f t="shared" si="12"/>
        <v>3.4912939847848599E-4</v>
      </c>
      <c r="H212" s="17">
        <f t="shared" si="14"/>
        <v>-2.9163744847835356E-3</v>
      </c>
    </row>
    <row r="213" spans="1:8" x14ac:dyDescent="0.25">
      <c r="A213" s="1" t="s">
        <v>130</v>
      </c>
      <c r="B213" s="1">
        <v>31.15</v>
      </c>
      <c r="C213" s="6">
        <f t="shared" si="16"/>
        <v>-3.3209186840471763E-2</v>
      </c>
      <c r="D213" s="6">
        <f t="shared" si="15"/>
        <v>-3.3773132515366219E-2</v>
      </c>
      <c r="E213" s="14">
        <f t="shared" si="13"/>
        <v>31.666799999999999</v>
      </c>
      <c r="G213" s="11">
        <f t="shared" si="12"/>
        <v>-9.3912943154015824E-4</v>
      </c>
      <c r="H213" s="17">
        <f t="shared" si="14"/>
        <v>-1.217340189395834E-2</v>
      </c>
    </row>
    <row r="214" spans="1:8" x14ac:dyDescent="0.25">
      <c r="A214" s="1" t="s">
        <v>131</v>
      </c>
      <c r="B214" s="1">
        <v>33.119999999999997</v>
      </c>
      <c r="C214" s="6">
        <f t="shared" si="16"/>
        <v>6.3242375601926124E-2</v>
      </c>
      <c r="D214" s="6">
        <f t="shared" si="15"/>
        <v>6.1323084283596667E-2</v>
      </c>
      <c r="E214" s="14">
        <f t="shared" si="13"/>
        <v>31.730399999999999</v>
      </c>
      <c r="G214" s="11">
        <f t="shared" si="12"/>
        <v>1.9679142384035819E-3</v>
      </c>
      <c r="H214" s="17">
        <f t="shared" si="14"/>
        <v>9.8755439593081629E-3</v>
      </c>
    </row>
    <row r="215" spans="1:8" x14ac:dyDescent="0.25">
      <c r="A215" s="1" t="s">
        <v>132</v>
      </c>
      <c r="B215" s="1">
        <v>34.42</v>
      </c>
      <c r="C215" s="6">
        <f t="shared" si="16"/>
        <v>3.9251207729468732E-2</v>
      </c>
      <c r="D215" s="6">
        <f t="shared" si="15"/>
        <v>3.8500461266334475E-2</v>
      </c>
      <c r="E215" s="14">
        <f t="shared" si="13"/>
        <v>31.786799999999999</v>
      </c>
      <c r="G215" s="11">
        <f t="shared" si="12"/>
        <v>1.6730897967316785E-3</v>
      </c>
      <c r="H215" s="17">
        <f t="shared" si="14"/>
        <v>1.8463019151416057E-2</v>
      </c>
    </row>
    <row r="216" spans="1:8" x14ac:dyDescent="0.25">
      <c r="A216" s="1" t="s">
        <v>133</v>
      </c>
      <c r="B216" s="1">
        <v>35.99</v>
      </c>
      <c r="C216" s="6">
        <f t="shared" si="16"/>
        <v>4.5613015688553173E-2</v>
      </c>
      <c r="D216" s="6">
        <f t="shared" si="15"/>
        <v>4.4603331307546047E-2</v>
      </c>
      <c r="E216" s="14">
        <f t="shared" si="13"/>
        <v>31.950399999999998</v>
      </c>
      <c r="G216" s="11">
        <f t="shared" si="12"/>
        <v>4.8254044920056308E-3</v>
      </c>
      <c r="H216" s="17">
        <f t="shared" si="14"/>
        <v>2.6305112798255054E-2</v>
      </c>
    </row>
    <row r="217" spans="1:8" x14ac:dyDescent="0.25">
      <c r="A217" s="1" t="s">
        <v>134</v>
      </c>
      <c r="B217" s="1">
        <v>35.71</v>
      </c>
      <c r="C217" s="6">
        <f t="shared" si="16"/>
        <v>-7.779938871908895E-3</v>
      </c>
      <c r="D217" s="6">
        <f t="shared" si="15"/>
        <v>-7.810360484582256E-3</v>
      </c>
      <c r="E217" s="14">
        <f t="shared" si="13"/>
        <v>32.123599999999996</v>
      </c>
      <c r="G217" s="11">
        <f t="shared" si="12"/>
        <v>5.1704005720588321E-3</v>
      </c>
      <c r="H217" s="17">
        <f t="shared" si="14"/>
        <v>1.6070470813403858E-2</v>
      </c>
    </row>
    <row r="218" spans="1:8" x14ac:dyDescent="0.25">
      <c r="A218" s="1" t="s">
        <v>135</v>
      </c>
      <c r="B218" s="1">
        <v>35.76</v>
      </c>
      <c r="C218" s="6">
        <f t="shared" si="16"/>
        <v>1.4001680201623399E-3</v>
      </c>
      <c r="D218" s="6">
        <f t="shared" si="15"/>
        <v>1.3991886989561926E-3</v>
      </c>
      <c r="E218" s="14">
        <f t="shared" si="13"/>
        <v>32.342399999999991</v>
      </c>
      <c r="G218" s="11">
        <f t="shared" si="12"/>
        <v>6.6404930106467039E-3</v>
      </c>
      <c r="H218" s="17">
        <f t="shared" si="14"/>
        <v>1.1669086179069558E-2</v>
      </c>
    </row>
    <row r="219" spans="1:8" x14ac:dyDescent="0.25">
      <c r="A219" s="1" t="s">
        <v>136</v>
      </c>
      <c r="B219" s="1">
        <v>35.200000000000003</v>
      </c>
      <c r="C219" s="6">
        <f t="shared" si="16"/>
        <v>-1.5659955257270559E-2</v>
      </c>
      <c r="D219" s="6">
        <f t="shared" si="15"/>
        <v>-1.5783867701261889E-2</v>
      </c>
      <c r="E219" s="14">
        <f t="shared" si="13"/>
        <v>32.580399999999997</v>
      </c>
      <c r="G219" s="11">
        <f t="shared" si="12"/>
        <v>7.4066603570474478E-3</v>
      </c>
      <c r="H219" s="17">
        <f t="shared" si="14"/>
        <v>3.4332000149701241E-3</v>
      </c>
    </row>
    <row r="220" spans="1:8" x14ac:dyDescent="0.25">
      <c r="A220" s="2">
        <v>43467</v>
      </c>
      <c r="B220" s="1">
        <v>35.54</v>
      </c>
      <c r="C220" s="6">
        <f t="shared" si="16"/>
        <v>9.659090909090803E-3</v>
      </c>
      <c r="D220" s="6">
        <f t="shared" si="15"/>
        <v>9.6127401224537432E-3</v>
      </c>
      <c r="E220" s="14">
        <f t="shared" si="13"/>
        <v>32.730800000000002</v>
      </c>
      <c r="G220" s="11">
        <f t="shared" ref="G220:G283" si="17">SUM(D196:D220)/25</f>
        <v>4.4728664647174206E-3</v>
      </c>
      <c r="H220" s="17">
        <f t="shared" si="14"/>
        <v>5.2870620472152095E-3</v>
      </c>
    </row>
    <row r="221" spans="1:8" x14ac:dyDescent="0.25">
      <c r="A221" s="2">
        <v>43557</v>
      </c>
      <c r="B221" s="1">
        <v>36.19</v>
      </c>
      <c r="C221" s="6">
        <f t="shared" si="16"/>
        <v>1.8289251547552014E-2</v>
      </c>
      <c r="D221" s="6">
        <f t="shared" si="15"/>
        <v>1.8124014849145859E-2</v>
      </c>
      <c r="E221" s="14">
        <f t="shared" ref="E221:E284" si="18">SUM(B197:B221)/25</f>
        <v>32.917200000000001</v>
      </c>
      <c r="G221" s="11">
        <f t="shared" si="17"/>
        <v>5.5137345607472743E-3</v>
      </c>
      <c r="H221" s="17">
        <f t="shared" ref="H221:H284" si="19">D221*$N$19+(1-$N$19)*H220</f>
        <v>9.1381478877944032E-3</v>
      </c>
    </row>
    <row r="222" spans="1:8" x14ac:dyDescent="0.25">
      <c r="A222" s="2">
        <v>43587</v>
      </c>
      <c r="B222" s="1">
        <v>36.44</v>
      </c>
      <c r="C222" s="6">
        <f t="shared" si="16"/>
        <v>6.9079856313898867E-3</v>
      </c>
      <c r="D222" s="6">
        <f t="shared" si="15"/>
        <v>6.8842348161064519E-3</v>
      </c>
      <c r="E222" s="14">
        <f t="shared" si="18"/>
        <v>33.122</v>
      </c>
      <c r="G222" s="11">
        <f t="shared" si="17"/>
        <v>6.0564080507662151E-3</v>
      </c>
      <c r="H222" s="17">
        <f t="shared" si="19"/>
        <v>8.461973966288016E-3</v>
      </c>
    </row>
    <row r="223" spans="1:8" x14ac:dyDescent="0.25">
      <c r="A223" s="2">
        <v>43618</v>
      </c>
      <c r="B223" s="1">
        <v>36.270000000000003</v>
      </c>
      <c r="C223" s="6">
        <f t="shared" si="16"/>
        <v>-4.6652030735454065E-3</v>
      </c>
      <c r="D223" s="6">
        <f t="shared" si="15"/>
        <v>-4.6761190969464746E-3</v>
      </c>
      <c r="E223" s="14">
        <f t="shared" si="18"/>
        <v>33.308799999999998</v>
      </c>
      <c r="G223" s="11">
        <f t="shared" si="17"/>
        <v>5.5133533080777928E-3</v>
      </c>
      <c r="H223" s="17">
        <f t="shared" si="19"/>
        <v>4.5205460473176683E-3</v>
      </c>
    </row>
    <row r="224" spans="1:8" x14ac:dyDescent="0.25">
      <c r="A224" s="2">
        <v>43648</v>
      </c>
      <c r="B224" s="1">
        <v>35.69</v>
      </c>
      <c r="C224" s="6">
        <f t="shared" si="16"/>
        <v>-1.599117728150001E-2</v>
      </c>
      <c r="D224" s="6">
        <f t="shared" si="15"/>
        <v>-1.612041579274217E-2</v>
      </c>
      <c r="E224" s="14">
        <f t="shared" si="18"/>
        <v>33.457999999999998</v>
      </c>
      <c r="G224" s="11">
        <f t="shared" si="17"/>
        <v>4.4154166641598045E-3</v>
      </c>
      <c r="H224" s="17">
        <f t="shared" si="19"/>
        <v>-1.6717425047002832E-3</v>
      </c>
    </row>
    <row r="225" spans="1:8" x14ac:dyDescent="0.25">
      <c r="A225" s="2">
        <v>43679</v>
      </c>
      <c r="B225" s="1">
        <v>35.520000000000003</v>
      </c>
      <c r="C225" s="6">
        <f t="shared" si="16"/>
        <v>-4.7632390025215635E-3</v>
      </c>
      <c r="D225" s="6">
        <f t="shared" si="15"/>
        <v>-4.7746193780994614E-3</v>
      </c>
      <c r="E225" s="14">
        <f t="shared" si="18"/>
        <v>33.695600000000006</v>
      </c>
      <c r="G225" s="11">
        <f t="shared" si="17"/>
        <v>7.3198984336526355E-3</v>
      </c>
      <c r="H225" s="17">
        <f t="shared" si="19"/>
        <v>-2.6026055667200364E-3</v>
      </c>
    </row>
    <row r="226" spans="1:8" x14ac:dyDescent="0.25">
      <c r="A226" s="2">
        <v>43771</v>
      </c>
      <c r="B226" s="1">
        <v>36.11</v>
      </c>
      <c r="C226" s="6">
        <f t="shared" si="16"/>
        <v>1.6610360360360253E-2</v>
      </c>
      <c r="D226" s="6">
        <f t="shared" si="15"/>
        <v>1.647391716539694E-2</v>
      </c>
      <c r="E226" s="14">
        <f t="shared" si="18"/>
        <v>33.878800000000005</v>
      </c>
      <c r="G226" s="11">
        <f t="shared" si="17"/>
        <v>5.4252144692958828E-3</v>
      </c>
      <c r="H226" s="17">
        <f t="shared" si="19"/>
        <v>3.1203512529150565E-3</v>
      </c>
    </row>
    <row r="227" spans="1:8" x14ac:dyDescent="0.25">
      <c r="A227" s="2">
        <v>43801</v>
      </c>
      <c r="B227" s="1">
        <v>35.28</v>
      </c>
      <c r="C227" s="6">
        <f t="shared" si="16"/>
        <v>-2.29853226253115E-2</v>
      </c>
      <c r="D227" s="6">
        <f t="shared" si="15"/>
        <v>-2.3253604150775778E-2</v>
      </c>
      <c r="E227" s="14">
        <f t="shared" si="18"/>
        <v>33.992800000000003</v>
      </c>
      <c r="G227" s="11">
        <f t="shared" si="17"/>
        <v>3.3692924327745695E-3</v>
      </c>
      <c r="H227" s="17">
        <f t="shared" si="19"/>
        <v>-4.7918353681921932E-3</v>
      </c>
    </row>
    <row r="228" spans="1:8" x14ac:dyDescent="0.25">
      <c r="A228" s="1" t="s">
        <v>137</v>
      </c>
      <c r="B228" s="1">
        <v>35.729999999999997</v>
      </c>
      <c r="C228" s="6">
        <f t="shared" si="16"/>
        <v>1.2755102040816205E-2</v>
      </c>
      <c r="D228" s="6">
        <f t="shared" si="15"/>
        <v>1.2674440896727861E-2</v>
      </c>
      <c r="E228" s="14">
        <f t="shared" si="18"/>
        <v>34.146000000000001</v>
      </c>
      <c r="G228" s="11">
        <f t="shared" si="17"/>
        <v>4.5353864897807903E-3</v>
      </c>
      <c r="H228" s="17">
        <f t="shared" si="19"/>
        <v>4.4804751128382303E-4</v>
      </c>
    </row>
    <row r="229" spans="1:8" x14ac:dyDescent="0.25">
      <c r="A229" s="1" t="s">
        <v>138</v>
      </c>
      <c r="B229" s="1">
        <v>35.630000000000003</v>
      </c>
      <c r="C229" s="6">
        <f t="shared" si="16"/>
        <v>-2.7987685418414308E-3</v>
      </c>
      <c r="D229" s="6">
        <f t="shared" si="15"/>
        <v>-2.8026924175736257E-3</v>
      </c>
      <c r="E229" s="14">
        <f t="shared" si="18"/>
        <v>34.255600000000001</v>
      </c>
      <c r="G229" s="11">
        <f t="shared" si="17"/>
        <v>3.2007727766711707E-3</v>
      </c>
      <c r="H229" s="17">
        <f t="shared" si="19"/>
        <v>-5.271744673734115E-4</v>
      </c>
    </row>
    <row r="230" spans="1:8" x14ac:dyDescent="0.25">
      <c r="A230" s="1" t="s">
        <v>139</v>
      </c>
      <c r="B230" s="1">
        <v>34.590000000000003</v>
      </c>
      <c r="C230" s="6">
        <f t="shared" si="16"/>
        <v>-2.9188885770418161E-2</v>
      </c>
      <c r="D230" s="6">
        <f t="shared" si="15"/>
        <v>-2.9623356668667257E-2</v>
      </c>
      <c r="E230" s="14">
        <f t="shared" si="18"/>
        <v>34.378000000000007</v>
      </c>
      <c r="G230" s="11">
        <f t="shared" si="17"/>
        <v>3.7050059756843223E-3</v>
      </c>
      <c r="H230" s="17">
        <f t="shared" si="19"/>
        <v>-9.2560291277615642E-3</v>
      </c>
    </row>
    <row r="231" spans="1:8" x14ac:dyDescent="0.25">
      <c r="A231" s="1" t="s">
        <v>140</v>
      </c>
      <c r="B231" s="1">
        <v>35</v>
      </c>
      <c r="C231" s="6">
        <f t="shared" si="16"/>
        <v>1.1853136744723809E-2</v>
      </c>
      <c r="D231" s="6">
        <f t="shared" si="15"/>
        <v>1.1783438540336302E-2</v>
      </c>
      <c r="E231" s="14">
        <f t="shared" si="18"/>
        <v>34.526399999999995</v>
      </c>
      <c r="G231" s="11">
        <f t="shared" si="17"/>
        <v>4.4819801523449275E-3</v>
      </c>
      <c r="H231" s="17">
        <f t="shared" si="19"/>
        <v>-2.944188827332204E-3</v>
      </c>
    </row>
    <row r="232" spans="1:8" x14ac:dyDescent="0.25">
      <c r="A232" s="1" t="s">
        <v>141</v>
      </c>
      <c r="B232" s="1">
        <v>34.6</v>
      </c>
      <c r="C232" s="6">
        <f t="shared" si="16"/>
        <v>-1.1428571428571389E-2</v>
      </c>
      <c r="D232" s="6">
        <f t="shared" si="15"/>
        <v>-1.1494379425735021E-2</v>
      </c>
      <c r="E232" s="14">
        <f t="shared" si="18"/>
        <v>34.661999999999999</v>
      </c>
      <c r="G232" s="11">
        <f t="shared" si="17"/>
        <v>4.1246050312396323E-3</v>
      </c>
      <c r="H232" s="17">
        <f t="shared" si="19"/>
        <v>-5.5092460068530483E-3</v>
      </c>
    </row>
    <row r="233" spans="1:8" x14ac:dyDescent="0.25">
      <c r="A233" s="1" t="s">
        <v>142</v>
      </c>
      <c r="B233" s="1">
        <v>34.520000000000003</v>
      </c>
      <c r="C233" s="6">
        <f t="shared" si="16"/>
        <v>-2.3121387283236501E-3</v>
      </c>
      <c r="D233" s="6">
        <f t="shared" si="15"/>
        <v>-2.3148158484513751E-3</v>
      </c>
      <c r="E233" s="14">
        <f t="shared" si="18"/>
        <v>34.779200000000003</v>
      </c>
      <c r="G233" s="11">
        <f t="shared" si="17"/>
        <v>3.5479300560493417E-3</v>
      </c>
      <c r="H233" s="17">
        <f t="shared" si="19"/>
        <v>-4.550916959332546E-3</v>
      </c>
    </row>
    <row r="234" spans="1:8" x14ac:dyDescent="0.25">
      <c r="A234" s="1" t="s">
        <v>143</v>
      </c>
      <c r="B234" s="1">
        <v>35.020000000000003</v>
      </c>
      <c r="C234" s="6">
        <f t="shared" si="16"/>
        <v>1.4484356894553881E-2</v>
      </c>
      <c r="D234" s="6">
        <f t="shared" si="15"/>
        <v>1.4380460642478566E-2</v>
      </c>
      <c r="E234" s="14">
        <f t="shared" si="18"/>
        <v>34.8872</v>
      </c>
      <c r="G234" s="11">
        <f t="shared" si="17"/>
        <v>3.2093237281924504E-3</v>
      </c>
      <c r="H234" s="17">
        <f t="shared" si="19"/>
        <v>1.1284963212107877E-3</v>
      </c>
    </row>
    <row r="235" spans="1:8" x14ac:dyDescent="0.25">
      <c r="A235" s="1" t="s">
        <v>144</v>
      </c>
      <c r="B235" s="1">
        <v>35.43</v>
      </c>
      <c r="C235" s="6">
        <f t="shared" si="16"/>
        <v>1.1707595659622974E-2</v>
      </c>
      <c r="D235" s="6">
        <f t="shared" si="15"/>
        <v>1.1639592019674638E-2</v>
      </c>
      <c r="E235" s="14">
        <f t="shared" si="18"/>
        <v>34.982400000000005</v>
      </c>
      <c r="G235" s="11">
        <f t="shared" si="17"/>
        <v>2.7814941031874146E-3</v>
      </c>
      <c r="H235" s="17">
        <f t="shared" si="19"/>
        <v>4.281825030749942E-3</v>
      </c>
    </row>
    <row r="236" spans="1:8" x14ac:dyDescent="0.25">
      <c r="A236" s="1" t="s">
        <v>145</v>
      </c>
      <c r="B236" s="1">
        <v>35.770000000000003</v>
      </c>
      <c r="C236" s="6">
        <f t="shared" si="16"/>
        <v>9.5963872424499972E-3</v>
      </c>
      <c r="D236" s="6">
        <f t="shared" si="15"/>
        <v>9.5506343935458839E-3</v>
      </c>
      <c r="E236" s="14">
        <f t="shared" si="18"/>
        <v>35.075999999999993</v>
      </c>
      <c r="G236" s="11">
        <f t="shared" si="17"/>
        <v>2.7062341135567669E-3</v>
      </c>
      <c r="H236" s="17">
        <f t="shared" si="19"/>
        <v>5.8624678395887246E-3</v>
      </c>
    </row>
    <row r="237" spans="1:8" x14ac:dyDescent="0.25">
      <c r="A237" s="1" t="s">
        <v>146</v>
      </c>
      <c r="B237" s="1">
        <v>35.22</v>
      </c>
      <c r="C237" s="6">
        <f t="shared" si="16"/>
        <v>-1.5376013419066374E-2</v>
      </c>
      <c r="D237" s="6">
        <f t="shared" si="15"/>
        <v>-1.5495450202866395E-2</v>
      </c>
      <c r="E237" s="14">
        <f t="shared" si="18"/>
        <v>35.195999999999998</v>
      </c>
      <c r="G237" s="11">
        <f t="shared" si="17"/>
        <v>3.5610690127692683E-3</v>
      </c>
      <c r="H237" s="17">
        <f t="shared" si="19"/>
        <v>-5.4490757314781205E-4</v>
      </c>
    </row>
    <row r="238" spans="1:8" x14ac:dyDescent="0.25">
      <c r="A238" s="1" t="s">
        <v>147</v>
      </c>
      <c r="B238" s="1">
        <v>35.159999999999997</v>
      </c>
      <c r="C238" s="6">
        <f t="shared" si="16"/>
        <v>-1.703577512776896E-3</v>
      </c>
      <c r="D238" s="6">
        <f t="shared" si="15"/>
        <v>-1.7050302510839455E-3</v>
      </c>
      <c r="E238" s="14">
        <f t="shared" si="18"/>
        <v>35.356399999999994</v>
      </c>
      <c r="G238" s="11">
        <f t="shared" si="17"/>
        <v>4.8437931033405591E-3</v>
      </c>
      <c r="H238" s="17">
        <f t="shared" si="19"/>
        <v>-8.9294437652865212E-4</v>
      </c>
    </row>
    <row r="239" spans="1:8" x14ac:dyDescent="0.25">
      <c r="A239" s="2">
        <v>43468</v>
      </c>
      <c r="B239" s="1">
        <v>34.18</v>
      </c>
      <c r="C239" s="6">
        <f t="shared" si="16"/>
        <v>-2.7872582480090925E-2</v>
      </c>
      <c r="D239" s="6">
        <f t="shared" si="15"/>
        <v>-2.8268395129531349E-2</v>
      </c>
      <c r="E239" s="14">
        <f t="shared" si="18"/>
        <v>35.398799999999994</v>
      </c>
      <c r="G239" s="11">
        <f t="shared" si="17"/>
        <v>1.2601339268154376E-3</v>
      </c>
      <c r="H239" s="17">
        <f t="shared" si="19"/>
        <v>-9.1055796024294613E-3</v>
      </c>
    </row>
    <row r="240" spans="1:8" x14ac:dyDescent="0.25">
      <c r="A240" s="2">
        <v>43558</v>
      </c>
      <c r="B240" s="1">
        <v>33.270000000000003</v>
      </c>
      <c r="C240" s="6">
        <f t="shared" si="16"/>
        <v>-2.6623756582796858E-2</v>
      </c>
      <c r="D240" s="6">
        <f t="shared" si="15"/>
        <v>-2.6984587657059321E-2</v>
      </c>
      <c r="E240" s="14">
        <f t="shared" si="18"/>
        <v>35.352799999999995</v>
      </c>
      <c r="G240" s="11">
        <f t="shared" si="17"/>
        <v>-1.3592680301203136E-3</v>
      </c>
      <c r="H240" s="17">
        <f t="shared" si="19"/>
        <v>-1.4469282018818419E-2</v>
      </c>
    </row>
    <row r="241" spans="1:8" x14ac:dyDescent="0.25">
      <c r="A241" s="2">
        <v>43588</v>
      </c>
      <c r="B241" s="1">
        <v>32.79</v>
      </c>
      <c r="C241" s="6">
        <f t="shared" si="16"/>
        <v>-1.4427412082957738E-2</v>
      </c>
      <c r="D241" s="6">
        <f t="shared" si="15"/>
        <v>-1.4532499173828581E-2</v>
      </c>
      <c r="E241" s="14">
        <f t="shared" si="18"/>
        <v>35.224799999999995</v>
      </c>
      <c r="G241" s="11">
        <f t="shared" si="17"/>
        <v>-3.7247012493752986E-3</v>
      </c>
      <c r="H241" s="17">
        <f t="shared" si="19"/>
        <v>-1.4488247165321466E-2</v>
      </c>
    </row>
    <row r="242" spans="1:8" x14ac:dyDescent="0.25">
      <c r="A242" s="2">
        <v>43619</v>
      </c>
      <c r="B242" s="1">
        <v>32.33</v>
      </c>
      <c r="C242" s="6">
        <f t="shared" si="16"/>
        <v>-1.4028667276608748E-2</v>
      </c>
      <c r="D242" s="6">
        <f t="shared" si="15"/>
        <v>-1.4127999119215234E-2</v>
      </c>
      <c r="E242" s="14">
        <f t="shared" si="18"/>
        <v>35.089599999999997</v>
      </c>
      <c r="G242" s="11">
        <f t="shared" si="17"/>
        <v>-3.9774067947606177E-3</v>
      </c>
      <c r="H242" s="17">
        <f t="shared" si="19"/>
        <v>-1.4380172751489596E-2</v>
      </c>
    </row>
    <row r="243" spans="1:8" x14ac:dyDescent="0.25">
      <c r="A243" s="2">
        <v>43649</v>
      </c>
      <c r="B243" s="1">
        <v>31.79</v>
      </c>
      <c r="C243" s="6">
        <f t="shared" si="16"/>
        <v>-1.6702752861119677E-2</v>
      </c>
      <c r="D243" s="6">
        <f t="shared" si="15"/>
        <v>-1.6843816814630336E-2</v>
      </c>
      <c r="E243" s="14">
        <f t="shared" si="18"/>
        <v>34.930799999999998</v>
      </c>
      <c r="G243" s="11">
        <f t="shared" si="17"/>
        <v>-4.7071270153040785E-3</v>
      </c>
      <c r="H243" s="17">
        <f t="shared" si="19"/>
        <v>-1.5119265970431818E-2</v>
      </c>
    </row>
    <row r="244" spans="1:8" x14ac:dyDescent="0.25">
      <c r="A244" s="2">
        <v>43680</v>
      </c>
      <c r="B244" s="1">
        <v>31.49</v>
      </c>
      <c r="C244" s="6">
        <f t="shared" si="16"/>
        <v>-9.4369298521547879E-3</v>
      </c>
      <c r="D244" s="6">
        <f t="shared" si="15"/>
        <v>-9.4817398097781225E-3</v>
      </c>
      <c r="E244" s="14">
        <f t="shared" si="18"/>
        <v>34.782399999999996</v>
      </c>
      <c r="G244" s="11">
        <f t="shared" si="17"/>
        <v>-4.4550418996447284E-3</v>
      </c>
      <c r="H244" s="17">
        <f t="shared" si="19"/>
        <v>-1.3428008122235709E-2</v>
      </c>
    </row>
    <row r="245" spans="1:8" x14ac:dyDescent="0.25">
      <c r="A245" s="2">
        <v>43772</v>
      </c>
      <c r="B245" s="1">
        <v>31.63</v>
      </c>
      <c r="C245" s="6">
        <f t="shared" si="16"/>
        <v>4.4458558272467636E-3</v>
      </c>
      <c r="D245" s="6">
        <f t="shared" si="15"/>
        <v>4.4360022046241081E-3</v>
      </c>
      <c r="E245" s="14">
        <f t="shared" si="18"/>
        <v>34.625999999999998</v>
      </c>
      <c r="G245" s="11">
        <f t="shared" si="17"/>
        <v>-4.6621114163579135E-3</v>
      </c>
      <c r="H245" s="17">
        <f t="shared" si="19"/>
        <v>-8.0688050241777623E-3</v>
      </c>
    </row>
    <row r="246" spans="1:8" x14ac:dyDescent="0.25">
      <c r="A246" s="2">
        <v>43802</v>
      </c>
      <c r="B246" s="1">
        <v>30.51</v>
      </c>
      <c r="C246" s="6">
        <f t="shared" si="16"/>
        <v>-3.540942143534611E-2</v>
      </c>
      <c r="D246" s="6">
        <f t="shared" si="15"/>
        <v>-3.6051538588979096E-2</v>
      </c>
      <c r="E246" s="14">
        <f t="shared" si="18"/>
        <v>34.398799999999994</v>
      </c>
      <c r="G246" s="11">
        <f t="shared" si="17"/>
        <v>-6.8291335538829111E-3</v>
      </c>
      <c r="H246" s="17">
        <f t="shared" si="19"/>
        <v>-1.6463625093618161E-2</v>
      </c>
    </row>
    <row r="247" spans="1:8" x14ac:dyDescent="0.25">
      <c r="A247" s="1" t="s">
        <v>148</v>
      </c>
      <c r="B247" s="1">
        <v>31.42</v>
      </c>
      <c r="C247" s="6">
        <f t="shared" si="16"/>
        <v>2.9826286463454608E-2</v>
      </c>
      <c r="D247" s="6">
        <f t="shared" si="15"/>
        <v>2.9390134098896861E-2</v>
      </c>
      <c r="E247" s="14">
        <f t="shared" si="18"/>
        <v>34.197999999999993</v>
      </c>
      <c r="G247" s="11">
        <f t="shared" si="17"/>
        <v>-5.9288975825712957E-3</v>
      </c>
      <c r="H247" s="17">
        <f t="shared" si="19"/>
        <v>-2.7074973358636543E-3</v>
      </c>
    </row>
    <row r="248" spans="1:8" x14ac:dyDescent="0.25">
      <c r="A248" s="1" t="s">
        <v>149</v>
      </c>
      <c r="B248" s="1">
        <v>31.7</v>
      </c>
      <c r="C248" s="6">
        <f t="shared" si="16"/>
        <v>8.9115213239973762E-3</v>
      </c>
      <c r="D248" s="6">
        <f t="shared" si="15"/>
        <v>8.8720480557597965E-3</v>
      </c>
      <c r="E248" s="14">
        <f t="shared" si="18"/>
        <v>34.015199999999993</v>
      </c>
      <c r="G248" s="11">
        <f t="shared" si="17"/>
        <v>-5.386970896463044E-3</v>
      </c>
      <c r="H248" s="17">
        <f t="shared" si="19"/>
        <v>7.6636628162338074E-4</v>
      </c>
    </row>
    <row r="249" spans="1:8" x14ac:dyDescent="0.25">
      <c r="A249" s="1" t="s">
        <v>150</v>
      </c>
      <c r="B249" s="1">
        <v>31.01</v>
      </c>
      <c r="C249" s="6">
        <f t="shared" si="16"/>
        <v>-2.1766561514195513E-2</v>
      </c>
      <c r="D249" s="6">
        <f t="shared" si="15"/>
        <v>-2.2006947770877309E-2</v>
      </c>
      <c r="E249" s="14">
        <f t="shared" si="18"/>
        <v>33.827999999999996</v>
      </c>
      <c r="G249" s="11">
        <f t="shared" si="17"/>
        <v>-5.622432175588451E-3</v>
      </c>
      <c r="H249" s="17">
        <f t="shared" si="19"/>
        <v>-6.0656279341268259E-3</v>
      </c>
    </row>
    <row r="250" spans="1:8" x14ac:dyDescent="0.25">
      <c r="A250" s="1" t="s">
        <v>151</v>
      </c>
      <c r="B250" s="1">
        <v>30.96</v>
      </c>
      <c r="C250" s="6">
        <f t="shared" si="16"/>
        <v>-1.6123831022251114E-3</v>
      </c>
      <c r="D250" s="6">
        <f t="shared" si="15"/>
        <v>-1.6136843908312324E-3</v>
      </c>
      <c r="E250" s="14">
        <f t="shared" si="18"/>
        <v>33.645600000000002</v>
      </c>
      <c r="G250" s="11">
        <f t="shared" si="17"/>
        <v>-5.4959947760977205E-3</v>
      </c>
      <c r="H250" s="17">
        <f t="shared" si="19"/>
        <v>-4.730044871138147E-3</v>
      </c>
    </row>
    <row r="251" spans="1:8" x14ac:dyDescent="0.25">
      <c r="A251" s="1" t="s">
        <v>152</v>
      </c>
      <c r="B251" s="1">
        <v>31.17</v>
      </c>
      <c r="C251" s="6">
        <f t="shared" si="16"/>
        <v>6.7829457364341362E-3</v>
      </c>
      <c r="D251" s="6">
        <f t="shared" si="15"/>
        <v>6.7600450577193615E-3</v>
      </c>
      <c r="E251" s="14">
        <f t="shared" si="18"/>
        <v>33.448</v>
      </c>
      <c r="G251" s="11">
        <f t="shared" si="17"/>
        <v>-5.8845496604048256E-3</v>
      </c>
      <c r="H251" s="17">
        <f t="shared" si="19"/>
        <v>-1.2830178924808943E-3</v>
      </c>
    </row>
    <row r="252" spans="1:8" x14ac:dyDescent="0.25">
      <c r="A252" s="1" t="s">
        <v>153</v>
      </c>
      <c r="B252" s="1">
        <v>30.55</v>
      </c>
      <c r="C252" s="6">
        <f t="shared" si="16"/>
        <v>-1.9890920757138306E-2</v>
      </c>
      <c r="D252" s="6">
        <f t="shared" si="15"/>
        <v>-2.0091408161641389E-2</v>
      </c>
      <c r="E252" s="14">
        <f t="shared" si="18"/>
        <v>33.258799999999994</v>
      </c>
      <c r="G252" s="11">
        <f t="shared" si="17"/>
        <v>-5.7580618208394486E-3</v>
      </c>
      <c r="H252" s="17">
        <f t="shared" si="19"/>
        <v>-6.925534973229043E-3</v>
      </c>
    </row>
    <row r="253" spans="1:8" x14ac:dyDescent="0.25">
      <c r="A253" s="1" t="s">
        <v>154</v>
      </c>
      <c r="B253" s="1">
        <v>31.03</v>
      </c>
      <c r="C253" s="6">
        <f t="shared" si="16"/>
        <v>1.5711947626841256E-2</v>
      </c>
      <c r="D253" s="6">
        <f t="shared" si="15"/>
        <v>1.5589792842684509E-2</v>
      </c>
      <c r="E253" s="14">
        <f t="shared" si="18"/>
        <v>33.070799999999991</v>
      </c>
      <c r="G253" s="11">
        <f t="shared" si="17"/>
        <v>-5.6414477430011848E-3</v>
      </c>
      <c r="H253" s="17">
        <f t="shared" si="19"/>
        <v>-1.709366284549773E-4</v>
      </c>
    </row>
    <row r="254" spans="1:8" x14ac:dyDescent="0.25">
      <c r="A254" s="1" t="s">
        <v>155</v>
      </c>
      <c r="B254" s="1">
        <v>30.17</v>
      </c>
      <c r="C254" s="6">
        <f t="shared" si="16"/>
        <v>-2.7715114405414097E-2</v>
      </c>
      <c r="D254" s="6">
        <f t="shared" si="15"/>
        <v>-2.8106425289319066E-2</v>
      </c>
      <c r="E254" s="14">
        <f t="shared" si="18"/>
        <v>32.852399999999996</v>
      </c>
      <c r="G254" s="11">
        <f t="shared" si="17"/>
        <v>-6.6535970578710012E-3</v>
      </c>
      <c r="H254" s="17">
        <f t="shared" si="19"/>
        <v>-8.5515832267142045E-3</v>
      </c>
    </row>
    <row r="255" spans="1:8" x14ac:dyDescent="0.25">
      <c r="A255" s="1" t="s">
        <v>156</v>
      </c>
      <c r="B255" s="1">
        <v>29.81</v>
      </c>
      <c r="C255" s="6">
        <f t="shared" si="16"/>
        <v>-1.1932383162081636E-2</v>
      </c>
      <c r="D255" s="6">
        <f t="shared" si="15"/>
        <v>-1.2004145480989785E-2</v>
      </c>
      <c r="E255" s="14">
        <f t="shared" si="18"/>
        <v>32.661199999999994</v>
      </c>
      <c r="G255" s="11">
        <f t="shared" si="17"/>
        <v>-5.9488286103639024E-3</v>
      </c>
      <c r="H255" s="17">
        <f t="shared" si="19"/>
        <v>-9.5873519029968778E-3</v>
      </c>
    </row>
    <row r="256" spans="1:8" x14ac:dyDescent="0.25">
      <c r="A256" s="1" t="s">
        <v>157</v>
      </c>
      <c r="B256" s="1">
        <v>29.81</v>
      </c>
      <c r="C256" s="6">
        <f t="shared" si="16"/>
        <v>0</v>
      </c>
      <c r="D256" s="6">
        <f t="shared" si="15"/>
        <v>0</v>
      </c>
      <c r="E256" s="14">
        <f t="shared" si="18"/>
        <v>32.453599999999994</v>
      </c>
      <c r="G256" s="11">
        <f t="shared" si="17"/>
        <v>-6.4201661519773549E-3</v>
      </c>
      <c r="H256" s="17">
        <f t="shared" si="19"/>
        <v>-6.711146332097814E-3</v>
      </c>
    </row>
    <row r="257" spans="1:8" x14ac:dyDescent="0.25">
      <c r="A257" s="1" t="s">
        <v>158</v>
      </c>
      <c r="B257" s="1">
        <v>30.53</v>
      </c>
      <c r="C257" s="6">
        <f t="shared" si="16"/>
        <v>2.4152968802415378E-2</v>
      </c>
      <c r="D257" s="6">
        <f t="shared" si="15"/>
        <v>2.3865899056806455E-2</v>
      </c>
      <c r="E257" s="14">
        <f t="shared" si="18"/>
        <v>32.29079999999999</v>
      </c>
      <c r="G257" s="11">
        <f t="shared" si="17"/>
        <v>-5.0057550126756953E-3</v>
      </c>
      <c r="H257" s="17">
        <f t="shared" si="19"/>
        <v>2.461967284573467E-3</v>
      </c>
    </row>
    <row r="258" spans="1:8" x14ac:dyDescent="0.25">
      <c r="A258" s="1" t="s">
        <v>159</v>
      </c>
      <c r="B258" s="1">
        <v>30.49</v>
      </c>
      <c r="C258" s="6">
        <f t="shared" si="16"/>
        <v>-1.3101867016050671E-3</v>
      </c>
      <c r="D258" s="6">
        <f t="shared" si="15"/>
        <v>-1.3110457466231832E-3</v>
      </c>
      <c r="E258" s="14">
        <f t="shared" si="18"/>
        <v>32.129599999999989</v>
      </c>
      <c r="G258" s="11">
        <f t="shared" si="17"/>
        <v>-4.9656042086025668E-3</v>
      </c>
      <c r="H258" s="17">
        <f t="shared" si="19"/>
        <v>1.3300633752144717E-3</v>
      </c>
    </row>
    <row r="259" spans="1:8" x14ac:dyDescent="0.25">
      <c r="A259" s="1" t="s">
        <v>160</v>
      </c>
      <c r="B259" s="1">
        <v>31.34</v>
      </c>
      <c r="C259" s="6">
        <f t="shared" si="16"/>
        <v>2.7877992784519561E-2</v>
      </c>
      <c r="D259" s="6">
        <f t="shared" si="15"/>
        <v>2.7496475927711473E-2</v>
      </c>
      <c r="E259" s="14">
        <f t="shared" si="18"/>
        <v>31.982399999999988</v>
      </c>
      <c r="G259" s="11">
        <f t="shared" si="17"/>
        <v>-4.4409635971932523E-3</v>
      </c>
      <c r="H259" s="17">
        <f t="shared" si="19"/>
        <v>9.1799871409635712E-3</v>
      </c>
    </row>
    <row r="260" spans="1:8" x14ac:dyDescent="0.25">
      <c r="A260" s="2">
        <v>43469</v>
      </c>
      <c r="B260" s="1">
        <v>31.92</v>
      </c>
      <c r="C260" s="6">
        <f t="shared" si="16"/>
        <v>1.8506700701978362E-2</v>
      </c>
      <c r="D260" s="6">
        <f t="shared" si="15"/>
        <v>1.8337535653733295E-2</v>
      </c>
      <c r="E260" s="14">
        <f t="shared" si="18"/>
        <v>31.841999999999988</v>
      </c>
      <c r="G260" s="11">
        <f t="shared" si="17"/>
        <v>-4.1730458518309064E-3</v>
      </c>
      <c r="H260" s="17">
        <f t="shared" si="19"/>
        <v>1.1927251694794487E-2</v>
      </c>
    </row>
    <row r="261" spans="1:8" x14ac:dyDescent="0.25">
      <c r="A261" s="2">
        <v>43500</v>
      </c>
      <c r="B261" s="1">
        <v>32.549999999999997</v>
      </c>
      <c r="C261" s="6">
        <f t="shared" si="16"/>
        <v>1.9736842105263015E-2</v>
      </c>
      <c r="D261" s="6">
        <f t="shared" ref="D261:D324" si="20">LN(B261/B260)</f>
        <v>1.9544596072970131E-2</v>
      </c>
      <c r="E261" s="14">
        <f t="shared" si="18"/>
        <v>31.713199999999986</v>
      </c>
      <c r="G261" s="11">
        <f t="shared" si="17"/>
        <v>-3.7732873846539365E-3</v>
      </c>
      <c r="H261" s="17">
        <f t="shared" si="19"/>
        <v>1.421245500824718E-2</v>
      </c>
    </row>
    <row r="262" spans="1:8" x14ac:dyDescent="0.25">
      <c r="A262" s="2">
        <v>43528</v>
      </c>
      <c r="B262" s="1">
        <v>33.26</v>
      </c>
      <c r="C262" s="6">
        <f t="shared" ref="C262:C325" si="21">(B262-B261)/B261</f>
        <v>2.1812596006144422E-2</v>
      </c>
      <c r="D262" s="6">
        <f t="shared" si="20"/>
        <v>2.1578105110203357E-2</v>
      </c>
      <c r="E262" s="14">
        <f t="shared" si="18"/>
        <v>31.634799999999991</v>
      </c>
      <c r="G262" s="11">
        <f t="shared" si="17"/>
        <v>-2.2903451721311462E-3</v>
      </c>
      <c r="H262" s="17">
        <f t="shared" si="19"/>
        <v>1.642215003883403E-2</v>
      </c>
    </row>
    <row r="263" spans="1:8" x14ac:dyDescent="0.25">
      <c r="A263" s="2">
        <v>43559</v>
      </c>
      <c r="B263" s="1">
        <v>33.479999999999997</v>
      </c>
      <c r="C263" s="6">
        <f t="shared" si="21"/>
        <v>6.6145520144317163E-3</v>
      </c>
      <c r="D263" s="6">
        <f t="shared" si="20"/>
        <v>6.5927718564928227E-3</v>
      </c>
      <c r="E263" s="14">
        <f t="shared" si="18"/>
        <v>31.567599999999999</v>
      </c>
      <c r="G263" s="11">
        <f t="shared" si="17"/>
        <v>-1.958433087828075E-3</v>
      </c>
      <c r="H263" s="17">
        <f t="shared" si="19"/>
        <v>1.3473336584131667E-2</v>
      </c>
    </row>
    <row r="264" spans="1:8" x14ac:dyDescent="0.25">
      <c r="A264" s="2">
        <v>43589</v>
      </c>
      <c r="B264" s="1">
        <v>33.61</v>
      </c>
      <c r="C264" s="6">
        <f t="shared" si="21"/>
        <v>3.8829151732378306E-3</v>
      </c>
      <c r="D264" s="6">
        <f t="shared" si="20"/>
        <v>3.875396115739769E-3</v>
      </c>
      <c r="E264" s="14">
        <f t="shared" si="18"/>
        <v>31.544799999999995</v>
      </c>
      <c r="G264" s="11">
        <f t="shared" si="17"/>
        <v>-6.726814380172291E-4</v>
      </c>
      <c r="H264" s="17">
        <f t="shared" si="19"/>
        <v>1.0593954443614098E-2</v>
      </c>
    </row>
    <row r="265" spans="1:8" x14ac:dyDescent="0.25">
      <c r="A265" s="2">
        <v>43681</v>
      </c>
      <c r="B265" s="1">
        <v>33.43</v>
      </c>
      <c r="C265" s="6">
        <f t="shared" si="21"/>
        <v>-5.3555489437667279E-3</v>
      </c>
      <c r="D265" s="6">
        <f t="shared" si="20"/>
        <v>-5.3699413050070912E-3</v>
      </c>
      <c r="E265" s="14">
        <f t="shared" si="18"/>
        <v>31.551199999999998</v>
      </c>
      <c r="G265" s="11">
        <f t="shared" si="17"/>
        <v>1.919044160648611E-4</v>
      </c>
      <c r="H265" s="17">
        <f t="shared" si="19"/>
        <v>5.8047857190277408E-3</v>
      </c>
    </row>
    <row r="266" spans="1:8" x14ac:dyDescent="0.25">
      <c r="A266" s="2">
        <v>43712</v>
      </c>
      <c r="B266" s="1">
        <v>32.869999999999997</v>
      </c>
      <c r="C266" s="6">
        <f t="shared" si="21"/>
        <v>-1.6751420879449665E-2</v>
      </c>
      <c r="D266" s="6">
        <f t="shared" si="20"/>
        <v>-1.6893312755879304E-2</v>
      </c>
      <c r="E266" s="14">
        <f t="shared" si="18"/>
        <v>31.554400000000001</v>
      </c>
      <c r="G266" s="11">
        <f t="shared" si="17"/>
        <v>9.7471872782831646E-5</v>
      </c>
      <c r="H266" s="17">
        <f t="shared" si="19"/>
        <v>-1.004643823444373E-3</v>
      </c>
    </row>
    <row r="267" spans="1:8" x14ac:dyDescent="0.25">
      <c r="A267" s="2">
        <v>43742</v>
      </c>
      <c r="B267" s="1">
        <v>33.57</v>
      </c>
      <c r="C267" s="6">
        <f t="shared" si="21"/>
        <v>2.1296014602981531E-2</v>
      </c>
      <c r="D267" s="6">
        <f t="shared" si="20"/>
        <v>2.1072423315815547E-2</v>
      </c>
      <c r="E267" s="14">
        <f t="shared" si="18"/>
        <v>31.603999999999999</v>
      </c>
      <c r="G267" s="11">
        <f t="shared" si="17"/>
        <v>1.5054887701840636E-3</v>
      </c>
      <c r="H267" s="17">
        <f t="shared" si="19"/>
        <v>5.6184763183336033E-3</v>
      </c>
    </row>
    <row r="268" spans="1:8" x14ac:dyDescent="0.25">
      <c r="A268" s="2">
        <v>43773</v>
      </c>
      <c r="B268" s="1">
        <v>34.35</v>
      </c>
      <c r="C268" s="6">
        <f t="shared" si="21"/>
        <v>2.3235031277926754E-2</v>
      </c>
      <c r="D268" s="6">
        <f t="shared" si="20"/>
        <v>2.2969207676414877E-2</v>
      </c>
      <c r="E268" s="14">
        <f t="shared" si="18"/>
        <v>31.706400000000002</v>
      </c>
      <c r="G268" s="11">
        <f t="shared" si="17"/>
        <v>3.0980097498258712E-3</v>
      </c>
      <c r="H268" s="17">
        <f t="shared" si="19"/>
        <v>1.0823695725757986E-2</v>
      </c>
    </row>
    <row r="269" spans="1:8" x14ac:dyDescent="0.25">
      <c r="A269" s="2">
        <v>43803</v>
      </c>
      <c r="B269" s="1">
        <v>34.229999999999997</v>
      </c>
      <c r="C269" s="6">
        <f t="shared" si="21"/>
        <v>-3.493449781659521E-3</v>
      </c>
      <c r="D269" s="6">
        <f t="shared" si="20"/>
        <v>-3.4995661262645478E-3</v>
      </c>
      <c r="E269" s="14">
        <f t="shared" si="18"/>
        <v>31.816000000000003</v>
      </c>
      <c r="G269" s="11">
        <f t="shared" si="17"/>
        <v>3.3372966971664153E-3</v>
      </c>
      <c r="H269" s="17">
        <f t="shared" si="19"/>
        <v>6.526717170151226E-3</v>
      </c>
    </row>
    <row r="270" spans="1:8" x14ac:dyDescent="0.25">
      <c r="A270" s="1" t="s">
        <v>161</v>
      </c>
      <c r="B270" s="1">
        <v>33.299999999999997</v>
      </c>
      <c r="C270" s="6">
        <f t="shared" si="21"/>
        <v>-2.7169149868536364E-2</v>
      </c>
      <c r="D270" s="6">
        <f t="shared" si="20"/>
        <v>-2.7545055555695804E-2</v>
      </c>
      <c r="E270" s="14">
        <f t="shared" si="18"/>
        <v>31.882800000000007</v>
      </c>
      <c r="G270" s="11">
        <f t="shared" si="17"/>
        <v>2.0580543867536175E-3</v>
      </c>
      <c r="H270" s="17">
        <f t="shared" si="19"/>
        <v>-3.694814647602883E-3</v>
      </c>
    </row>
    <row r="271" spans="1:8" x14ac:dyDescent="0.25">
      <c r="A271" s="1" t="s">
        <v>162</v>
      </c>
      <c r="B271" s="1">
        <v>33.58</v>
      </c>
      <c r="C271" s="6">
        <f t="shared" si="21"/>
        <v>8.4084084084084434E-3</v>
      </c>
      <c r="D271" s="6">
        <f t="shared" si="20"/>
        <v>8.3732546629966056E-3</v>
      </c>
      <c r="E271" s="14">
        <f t="shared" si="18"/>
        <v>32.005600000000001</v>
      </c>
      <c r="G271" s="11">
        <f t="shared" si="17"/>
        <v>3.8350461168326442E-3</v>
      </c>
      <c r="H271" s="17">
        <f t="shared" si="19"/>
        <v>-7.4393854423036518E-5</v>
      </c>
    </row>
    <row r="272" spans="1:8" x14ac:dyDescent="0.25">
      <c r="A272" s="1" t="s">
        <v>163</v>
      </c>
      <c r="B272" s="1">
        <v>33.93</v>
      </c>
      <c r="C272" s="6">
        <f t="shared" si="21"/>
        <v>1.0422870756402663E-2</v>
      </c>
      <c r="D272" s="6">
        <f t="shared" si="20"/>
        <v>1.0368927146744087E-2</v>
      </c>
      <c r="E272" s="14">
        <f t="shared" si="18"/>
        <v>32.106000000000002</v>
      </c>
      <c r="G272" s="11">
        <f t="shared" si="17"/>
        <v>3.0741978387465339E-3</v>
      </c>
      <c r="H272" s="17">
        <f t="shared" si="19"/>
        <v>3.0586024459271005E-3</v>
      </c>
    </row>
    <row r="273" spans="1:8" x14ac:dyDescent="0.25">
      <c r="A273" s="1" t="s">
        <v>164</v>
      </c>
      <c r="B273" s="1">
        <v>33.92</v>
      </c>
      <c r="C273" s="6">
        <f t="shared" si="21"/>
        <v>-2.9472443265540852E-4</v>
      </c>
      <c r="D273" s="6">
        <f t="shared" si="20"/>
        <v>-2.947678724364237E-4</v>
      </c>
      <c r="E273" s="14">
        <f t="shared" si="18"/>
        <v>32.194800000000001</v>
      </c>
      <c r="G273" s="11">
        <f t="shared" si="17"/>
        <v>2.707525201618685E-3</v>
      </c>
      <c r="H273" s="17">
        <f t="shared" si="19"/>
        <v>2.0525913504180434E-3</v>
      </c>
    </row>
    <row r="274" spans="1:8" x14ac:dyDescent="0.25">
      <c r="A274" s="1" t="s">
        <v>165</v>
      </c>
      <c r="B274" s="1">
        <v>33.04</v>
      </c>
      <c r="C274" s="6">
        <f t="shared" si="21"/>
        <v>-2.5943396226415168E-2</v>
      </c>
      <c r="D274" s="6">
        <f t="shared" si="20"/>
        <v>-2.6285862270925085E-2</v>
      </c>
      <c r="E274" s="14">
        <f t="shared" si="18"/>
        <v>32.275999999999996</v>
      </c>
      <c r="G274" s="11">
        <f t="shared" si="17"/>
        <v>2.5363686216167748E-3</v>
      </c>
      <c r="H274" s="17">
        <f t="shared" si="19"/>
        <v>-6.4489447359848953E-3</v>
      </c>
    </row>
    <row r="275" spans="1:8" x14ac:dyDescent="0.25">
      <c r="A275" s="1" t="s">
        <v>166</v>
      </c>
      <c r="B275" s="1">
        <v>33.520000000000003</v>
      </c>
      <c r="C275" s="6">
        <f t="shared" si="21"/>
        <v>1.4527845036319733E-2</v>
      </c>
      <c r="D275" s="6">
        <f t="shared" si="20"/>
        <v>1.4423326961105125E-2</v>
      </c>
      <c r="E275" s="14">
        <f t="shared" si="18"/>
        <v>32.378399999999999</v>
      </c>
      <c r="G275" s="11">
        <f t="shared" si="17"/>
        <v>3.177849075694229E-3</v>
      </c>
      <c r="H275" s="17">
        <f t="shared" si="19"/>
        <v>-1.8726322685788926E-4</v>
      </c>
    </row>
    <row r="276" spans="1:8" x14ac:dyDescent="0.25">
      <c r="A276" s="1" t="s">
        <v>167</v>
      </c>
      <c r="B276" s="1">
        <v>33.54</v>
      </c>
      <c r="C276" s="6">
        <f t="shared" si="21"/>
        <v>5.9665871121706497E-4</v>
      </c>
      <c r="D276" s="6">
        <f t="shared" si="20"/>
        <v>5.9648078118048568E-4</v>
      </c>
      <c r="E276" s="14">
        <f t="shared" si="18"/>
        <v>32.473199999999999</v>
      </c>
      <c r="G276" s="11">
        <f t="shared" si="17"/>
        <v>2.9313065046326736E-3</v>
      </c>
      <c r="H276" s="17">
        <f t="shared" si="19"/>
        <v>4.7859975553623239E-5</v>
      </c>
    </row>
    <row r="277" spans="1:8" x14ac:dyDescent="0.25">
      <c r="A277" s="1" t="s">
        <v>168</v>
      </c>
      <c r="B277" s="1">
        <v>32.97</v>
      </c>
      <c r="C277" s="6">
        <f t="shared" si="21"/>
        <v>-1.6994633273703048E-2</v>
      </c>
      <c r="D277" s="6">
        <f t="shared" si="20"/>
        <v>-1.7140699311423164E-2</v>
      </c>
      <c r="E277" s="14">
        <f t="shared" si="18"/>
        <v>32.569999999999993</v>
      </c>
      <c r="G277" s="11">
        <f t="shared" si="17"/>
        <v>3.0493348586414031E-3</v>
      </c>
      <c r="H277" s="17">
        <f t="shared" si="19"/>
        <v>-5.108707810539413E-3</v>
      </c>
    </row>
    <row r="278" spans="1:8" x14ac:dyDescent="0.25">
      <c r="A278" s="1" t="s">
        <v>169</v>
      </c>
      <c r="B278" s="1">
        <v>32.619999999999997</v>
      </c>
      <c r="C278" s="6">
        <f t="shared" si="21"/>
        <v>-1.0615711252653971E-2</v>
      </c>
      <c r="D278" s="6">
        <f t="shared" si="20"/>
        <v>-1.0672459890771872E-2</v>
      </c>
      <c r="E278" s="14">
        <f t="shared" si="18"/>
        <v>32.633599999999994</v>
      </c>
      <c r="G278" s="11">
        <f t="shared" si="17"/>
        <v>1.9988447493031474E-3</v>
      </c>
      <c r="H278" s="17">
        <f t="shared" si="19"/>
        <v>-6.7778334346091504E-3</v>
      </c>
    </row>
    <row r="279" spans="1:8" x14ac:dyDescent="0.25">
      <c r="A279" s="1" t="s">
        <v>170</v>
      </c>
      <c r="B279" s="1">
        <v>33.32</v>
      </c>
      <c r="C279" s="6">
        <f t="shared" si="21"/>
        <v>2.1459227467811249E-2</v>
      </c>
      <c r="D279" s="6">
        <f t="shared" si="20"/>
        <v>2.1232220105774118E-2</v>
      </c>
      <c r="E279" s="14">
        <f t="shared" si="18"/>
        <v>32.759599999999999</v>
      </c>
      <c r="G279" s="11">
        <f t="shared" si="17"/>
        <v>3.9723905651068772E-3</v>
      </c>
      <c r="H279" s="17">
        <f t="shared" si="19"/>
        <v>1.6251826275058305E-3</v>
      </c>
    </row>
    <row r="280" spans="1:8" x14ac:dyDescent="0.25">
      <c r="A280" s="1" t="s">
        <v>171</v>
      </c>
      <c r="B280" s="1">
        <v>33.729999999999997</v>
      </c>
      <c r="C280" s="6">
        <f t="shared" si="21"/>
        <v>1.2304921968787413E-2</v>
      </c>
      <c r="D280" s="6">
        <f t="shared" si="20"/>
        <v>1.2229831774916829E-2</v>
      </c>
      <c r="E280" s="14">
        <f t="shared" si="18"/>
        <v>32.916399999999996</v>
      </c>
      <c r="G280" s="11">
        <f t="shared" si="17"/>
        <v>4.9417496553431405E-3</v>
      </c>
      <c r="H280" s="17">
        <f t="shared" si="19"/>
        <v>4.8065773717291295E-3</v>
      </c>
    </row>
    <row r="281" spans="1:8" x14ac:dyDescent="0.25">
      <c r="A281" s="2">
        <v>43470</v>
      </c>
      <c r="B281" s="1">
        <v>33.46</v>
      </c>
      <c r="C281" s="6">
        <f t="shared" si="21"/>
        <v>-8.0047435517342433E-3</v>
      </c>
      <c r="D281" s="6">
        <f t="shared" si="20"/>
        <v>-8.0369535148807954E-3</v>
      </c>
      <c r="E281" s="14">
        <f t="shared" si="18"/>
        <v>33.062399999999997</v>
      </c>
      <c r="G281" s="11">
        <f t="shared" si="17"/>
        <v>4.6202715147479088E-3</v>
      </c>
      <c r="H281" s="17">
        <f t="shared" si="19"/>
        <v>9.5351810574615184E-4</v>
      </c>
    </row>
    <row r="282" spans="1:8" x14ac:dyDescent="0.25">
      <c r="A282" s="2">
        <v>43501</v>
      </c>
      <c r="B282" s="1">
        <v>33.5</v>
      </c>
      <c r="C282" s="6">
        <f t="shared" si="21"/>
        <v>1.1954572624028436E-3</v>
      </c>
      <c r="D282" s="6">
        <f t="shared" si="20"/>
        <v>1.1947432723428558E-3</v>
      </c>
      <c r="E282" s="14">
        <f t="shared" si="18"/>
        <v>33.181200000000004</v>
      </c>
      <c r="G282" s="11">
        <f t="shared" si="17"/>
        <v>3.7134252833693642E-3</v>
      </c>
      <c r="H282" s="17">
        <f t="shared" si="19"/>
        <v>1.025885655725163E-3</v>
      </c>
    </row>
    <row r="283" spans="1:8" x14ac:dyDescent="0.25">
      <c r="A283" s="2">
        <v>43529</v>
      </c>
      <c r="B283" s="1">
        <v>34.33</v>
      </c>
      <c r="C283" s="6">
        <f t="shared" si="21"/>
        <v>2.4776119402985023E-2</v>
      </c>
      <c r="D283" s="6">
        <f t="shared" si="20"/>
        <v>2.4474168638579829E-2</v>
      </c>
      <c r="E283" s="14">
        <f t="shared" si="18"/>
        <v>33.334800000000001</v>
      </c>
      <c r="G283" s="11">
        <f t="shared" si="17"/>
        <v>4.7448338587774853E-3</v>
      </c>
      <c r="H283" s="17">
        <f t="shared" si="19"/>
        <v>8.060370550581562E-3</v>
      </c>
    </row>
    <row r="284" spans="1:8" x14ac:dyDescent="0.25">
      <c r="A284" s="2">
        <v>43621</v>
      </c>
      <c r="B284" s="1">
        <v>34.29</v>
      </c>
      <c r="C284" s="6">
        <f t="shared" si="21"/>
        <v>-1.1651616661811578E-3</v>
      </c>
      <c r="D284" s="6">
        <f t="shared" si="20"/>
        <v>-1.1658409947717173E-3</v>
      </c>
      <c r="E284" s="14">
        <f t="shared" si="18"/>
        <v>33.452800000000003</v>
      </c>
      <c r="G284" s="11">
        <f t="shared" ref="G284:G347" si="22">SUM(D260:D284)/25</f>
        <v>3.5983411818781576E-3</v>
      </c>
      <c r="H284" s="17">
        <f t="shared" si="19"/>
        <v>5.2925070869755779E-3</v>
      </c>
    </row>
    <row r="285" spans="1:8" x14ac:dyDescent="0.25">
      <c r="A285" s="2">
        <v>43651</v>
      </c>
      <c r="B285" s="1">
        <v>33.56</v>
      </c>
      <c r="C285" s="6">
        <f t="shared" si="21"/>
        <v>-2.1289005540973953E-2</v>
      </c>
      <c r="D285" s="6">
        <f t="shared" si="20"/>
        <v>-2.1518884875823409E-2</v>
      </c>
      <c r="E285" s="14">
        <f t="shared" ref="E285:E348" si="23">SUM(B261:B285)/25</f>
        <v>33.518400000000014</v>
      </c>
      <c r="G285" s="11">
        <f t="shared" si="22"/>
        <v>2.0040843606958887E-3</v>
      </c>
      <c r="H285" s="17">
        <f t="shared" ref="H285:H348" si="24">D285*$N$19+(1-$N$19)*H284</f>
        <v>-2.750910501864118E-3</v>
      </c>
    </row>
    <row r="286" spans="1:8" x14ac:dyDescent="0.25">
      <c r="A286" s="2">
        <v>43682</v>
      </c>
      <c r="B286" s="1">
        <v>33.4</v>
      </c>
      <c r="C286" s="6">
        <f t="shared" si="21"/>
        <v>-4.7675804529202529E-3</v>
      </c>
      <c r="D286" s="6">
        <f t="shared" si="20"/>
        <v>-4.7789816163508036E-3</v>
      </c>
      <c r="E286" s="14">
        <f t="shared" si="23"/>
        <v>33.552400000000006</v>
      </c>
      <c r="G286" s="11">
        <f t="shared" si="22"/>
        <v>1.0311412531230513E-3</v>
      </c>
      <c r="H286" s="17">
        <f t="shared" si="24"/>
        <v>-3.3593318362101238E-3</v>
      </c>
    </row>
    <row r="287" spans="1:8" x14ac:dyDescent="0.25">
      <c r="A287" s="2">
        <v>43713</v>
      </c>
      <c r="B287" s="1">
        <v>33.6</v>
      </c>
      <c r="C287" s="6">
        <f t="shared" si="21"/>
        <v>5.9880239520958937E-3</v>
      </c>
      <c r="D287" s="6">
        <f t="shared" si="20"/>
        <v>5.9701669865039747E-3</v>
      </c>
      <c r="E287" s="14">
        <f t="shared" si="23"/>
        <v>33.566000000000003</v>
      </c>
      <c r="G287" s="11">
        <f t="shared" si="22"/>
        <v>4.0682372817507645E-4</v>
      </c>
      <c r="H287" s="17">
        <f t="shared" si="24"/>
        <v>-5.6048218939589432E-4</v>
      </c>
    </row>
    <row r="288" spans="1:8" x14ac:dyDescent="0.25">
      <c r="A288" s="2">
        <v>43743</v>
      </c>
      <c r="B288" s="1">
        <v>33.64</v>
      </c>
      <c r="C288" s="6">
        <f t="shared" si="21"/>
        <v>1.190476190476165E-3</v>
      </c>
      <c r="D288" s="6">
        <f t="shared" si="20"/>
        <v>1.1897681355887508E-3</v>
      </c>
      <c r="E288" s="14">
        <f t="shared" si="23"/>
        <v>33.572400000000002</v>
      </c>
      <c r="G288" s="11">
        <f t="shared" si="22"/>
        <v>1.9070357933891351E-4</v>
      </c>
      <c r="H288" s="17">
        <f t="shared" si="24"/>
        <v>-3.5407091900500768E-5</v>
      </c>
    </row>
    <row r="289" spans="1:8" x14ac:dyDescent="0.25">
      <c r="A289" s="1" t="s">
        <v>172</v>
      </c>
      <c r="B289" s="1">
        <v>31.81</v>
      </c>
      <c r="C289" s="6">
        <f t="shared" si="21"/>
        <v>-5.4399524375743219E-2</v>
      </c>
      <c r="D289" s="6">
        <f t="shared" si="20"/>
        <v>-5.5935129343694656E-2</v>
      </c>
      <c r="E289" s="14">
        <f t="shared" si="23"/>
        <v>33.500399999999992</v>
      </c>
      <c r="G289" s="11">
        <f t="shared" si="22"/>
        <v>-2.2017174390384633E-3</v>
      </c>
      <c r="H289" s="17">
        <f t="shared" si="24"/>
        <v>-1.6805323767438748E-2</v>
      </c>
    </row>
    <row r="290" spans="1:8" x14ac:dyDescent="0.25">
      <c r="A290" s="1" t="s">
        <v>173</v>
      </c>
      <c r="B290" s="1">
        <v>32</v>
      </c>
      <c r="C290" s="6">
        <f t="shared" si="21"/>
        <v>5.9729644765797322E-3</v>
      </c>
      <c r="D290" s="6">
        <f t="shared" si="20"/>
        <v>5.9551970386739145E-3</v>
      </c>
      <c r="E290" s="14">
        <f t="shared" si="23"/>
        <v>33.443200000000004</v>
      </c>
      <c r="G290" s="11">
        <f t="shared" si="22"/>
        <v>-1.7487119052912233E-3</v>
      </c>
      <c r="H290" s="17">
        <f t="shared" si="24"/>
        <v>-9.9771675256049488E-3</v>
      </c>
    </row>
    <row r="291" spans="1:8" x14ac:dyDescent="0.25">
      <c r="A291" s="1" t="s">
        <v>174</v>
      </c>
      <c r="B291" s="1">
        <v>31.83</v>
      </c>
      <c r="C291" s="6">
        <f t="shared" si="21"/>
        <v>-5.3125000000000533E-3</v>
      </c>
      <c r="D291" s="6">
        <f t="shared" si="20"/>
        <v>-5.3266615057251422E-3</v>
      </c>
      <c r="E291" s="14">
        <f t="shared" si="23"/>
        <v>33.401600000000002</v>
      </c>
      <c r="G291" s="11">
        <f t="shared" si="22"/>
        <v>-1.2860458552850574E-3</v>
      </c>
      <c r="H291" s="17">
        <f t="shared" si="24"/>
        <v>-8.5820157196410066E-3</v>
      </c>
    </row>
    <row r="292" spans="1:8" x14ac:dyDescent="0.25">
      <c r="A292" s="1" t="s">
        <v>175</v>
      </c>
      <c r="B292" s="1">
        <v>31.98</v>
      </c>
      <c r="C292" s="6">
        <f t="shared" si="21"/>
        <v>4.7125353440151474E-3</v>
      </c>
      <c r="D292" s="6">
        <f t="shared" si="20"/>
        <v>4.7014661118068013E-3</v>
      </c>
      <c r="E292" s="14">
        <f t="shared" si="23"/>
        <v>33.338000000000001</v>
      </c>
      <c r="G292" s="11">
        <f t="shared" si="22"/>
        <v>-1.9408841434454065E-3</v>
      </c>
      <c r="H292" s="17">
        <f t="shared" si="24"/>
        <v>-4.5969711702066639E-3</v>
      </c>
    </row>
    <row r="293" spans="1:8" x14ac:dyDescent="0.25">
      <c r="A293" s="1" t="s">
        <v>176</v>
      </c>
      <c r="B293" s="1">
        <v>31.41</v>
      </c>
      <c r="C293" s="6">
        <f t="shared" si="21"/>
        <v>-1.7823639774859297E-2</v>
      </c>
      <c r="D293" s="6">
        <f t="shared" si="20"/>
        <v>-1.7984393855253054E-2</v>
      </c>
      <c r="E293" s="14">
        <f t="shared" si="23"/>
        <v>33.220399999999998</v>
      </c>
      <c r="G293" s="11">
        <f t="shared" si="22"/>
        <v>-3.5790282047121237E-3</v>
      </c>
      <c r="H293" s="17">
        <f t="shared" si="24"/>
        <v>-8.6131979757205802E-3</v>
      </c>
    </row>
    <row r="294" spans="1:8" x14ac:dyDescent="0.25">
      <c r="A294" s="1" t="s">
        <v>177</v>
      </c>
      <c r="B294" s="1">
        <v>30.64</v>
      </c>
      <c r="C294" s="6">
        <f t="shared" si="21"/>
        <v>-2.4514485832537396E-2</v>
      </c>
      <c r="D294" s="6">
        <f t="shared" si="20"/>
        <v>-2.4819968678164564E-2</v>
      </c>
      <c r="E294" s="14">
        <f t="shared" si="23"/>
        <v>33.076799999999999</v>
      </c>
      <c r="G294" s="11">
        <f t="shared" si="22"/>
        <v>-4.4318443067881234E-3</v>
      </c>
      <c r="H294" s="17">
        <f t="shared" si="24"/>
        <v>-1.3475229186453774E-2</v>
      </c>
    </row>
    <row r="295" spans="1:8" x14ac:dyDescent="0.25">
      <c r="A295" s="1" t="s">
        <v>178</v>
      </c>
      <c r="B295" s="1">
        <v>30.98</v>
      </c>
      <c r="C295" s="6">
        <f t="shared" si="21"/>
        <v>1.1096605744125321E-2</v>
      </c>
      <c r="D295" s="6">
        <f t="shared" si="20"/>
        <v>1.1035490116331995E-2</v>
      </c>
      <c r="E295" s="14">
        <f t="shared" si="23"/>
        <v>32.984000000000002</v>
      </c>
      <c r="G295" s="11">
        <f t="shared" si="22"/>
        <v>-2.8886224799070125E-3</v>
      </c>
      <c r="H295" s="17">
        <f t="shared" si="24"/>
        <v>-6.1220133956180426E-3</v>
      </c>
    </row>
    <row r="296" spans="1:8" x14ac:dyDescent="0.25">
      <c r="A296" s="1" t="s">
        <v>179</v>
      </c>
      <c r="B296" s="1">
        <v>29.61</v>
      </c>
      <c r="C296" s="6">
        <f t="shared" si="21"/>
        <v>-4.4222078760490668E-2</v>
      </c>
      <c r="D296" s="6">
        <f t="shared" si="20"/>
        <v>-4.5229692875222695E-2</v>
      </c>
      <c r="E296" s="14">
        <f t="shared" si="23"/>
        <v>32.825200000000002</v>
      </c>
      <c r="G296" s="11">
        <f t="shared" si="22"/>
        <v>-5.032740381435784E-3</v>
      </c>
      <c r="H296" s="17">
        <f t="shared" si="24"/>
        <v>-1.7854317239499436E-2</v>
      </c>
    </row>
    <row r="297" spans="1:8" x14ac:dyDescent="0.25">
      <c r="A297" s="1" t="s">
        <v>180</v>
      </c>
      <c r="B297" s="1">
        <v>29.19</v>
      </c>
      <c r="C297" s="6">
        <f t="shared" si="21"/>
        <v>-1.4184397163120505E-2</v>
      </c>
      <c r="D297" s="6">
        <f t="shared" si="20"/>
        <v>-1.4285957247476428E-2</v>
      </c>
      <c r="E297" s="14">
        <f t="shared" si="23"/>
        <v>32.635600000000004</v>
      </c>
      <c r="G297" s="11">
        <f t="shared" si="22"/>
        <v>-6.0189357572046041E-3</v>
      </c>
      <c r="H297" s="17">
        <f t="shared" si="24"/>
        <v>-1.6783809241892531E-2</v>
      </c>
    </row>
    <row r="298" spans="1:8" x14ac:dyDescent="0.25">
      <c r="A298" s="1" t="s">
        <v>181</v>
      </c>
      <c r="B298" s="1">
        <v>28.87</v>
      </c>
      <c r="C298" s="6">
        <f t="shared" si="21"/>
        <v>-1.0962658444672842E-2</v>
      </c>
      <c r="D298" s="6">
        <f t="shared" si="20"/>
        <v>-1.102319119117964E-2</v>
      </c>
      <c r="E298" s="14">
        <f t="shared" si="23"/>
        <v>32.433599999999998</v>
      </c>
      <c r="G298" s="11">
        <f t="shared" si="22"/>
        <v>-6.4480726899543341E-3</v>
      </c>
      <c r="H298" s="17">
        <f t="shared" si="24"/>
        <v>-1.5055623826678664E-2</v>
      </c>
    </row>
    <row r="299" spans="1:8" x14ac:dyDescent="0.25">
      <c r="A299" s="1" t="s">
        <v>182</v>
      </c>
      <c r="B299" s="1">
        <v>28.43</v>
      </c>
      <c r="C299" s="6">
        <f t="shared" si="21"/>
        <v>-1.5240734326290311E-2</v>
      </c>
      <c r="D299" s="6">
        <f t="shared" si="20"/>
        <v>-1.5358068011935408E-2</v>
      </c>
      <c r="E299" s="14">
        <f t="shared" si="23"/>
        <v>32.249200000000002</v>
      </c>
      <c r="G299" s="11">
        <f t="shared" si="22"/>
        <v>-6.0109609195947459E-3</v>
      </c>
      <c r="H299" s="17">
        <f t="shared" si="24"/>
        <v>-1.5146357082255688E-2</v>
      </c>
    </row>
    <row r="300" spans="1:8" x14ac:dyDescent="0.25">
      <c r="A300" s="1" t="s">
        <v>183</v>
      </c>
      <c r="B300" s="1">
        <v>28.12</v>
      </c>
      <c r="C300" s="6">
        <f t="shared" si="21"/>
        <v>-1.0903974674639421E-2</v>
      </c>
      <c r="D300" s="6">
        <f t="shared" si="20"/>
        <v>-1.0963858720444232E-2</v>
      </c>
      <c r="E300" s="14">
        <f t="shared" si="23"/>
        <v>32.033200000000001</v>
      </c>
      <c r="G300" s="11">
        <f t="shared" si="22"/>
        <v>-7.0264483468567198E-3</v>
      </c>
      <c r="H300" s="17">
        <f t="shared" si="24"/>
        <v>-1.3891607573712252E-2</v>
      </c>
    </row>
    <row r="301" spans="1:8" x14ac:dyDescent="0.25">
      <c r="A301" s="1" t="s">
        <v>184</v>
      </c>
      <c r="B301" s="1">
        <v>27.88</v>
      </c>
      <c r="C301" s="6">
        <f t="shared" si="21"/>
        <v>-8.5348506401138682E-3</v>
      </c>
      <c r="D301" s="6">
        <f t="shared" si="20"/>
        <v>-8.5714810501410568E-3</v>
      </c>
      <c r="E301" s="14">
        <f t="shared" si="23"/>
        <v>31.806799999999999</v>
      </c>
      <c r="G301" s="11">
        <f t="shared" si="22"/>
        <v>-7.3931668201095814E-3</v>
      </c>
      <c r="H301" s="17">
        <f t="shared" si="24"/>
        <v>-1.2295569616640894E-2</v>
      </c>
    </row>
    <row r="302" spans="1:8" x14ac:dyDescent="0.25">
      <c r="A302" s="1" t="s">
        <v>185</v>
      </c>
      <c r="B302" s="1">
        <v>26.95</v>
      </c>
      <c r="C302" s="6">
        <f t="shared" si="21"/>
        <v>-3.3357245337159246E-2</v>
      </c>
      <c r="D302" s="6">
        <f t="shared" si="20"/>
        <v>-3.3926288537316947E-2</v>
      </c>
      <c r="E302" s="14">
        <f t="shared" si="23"/>
        <v>31.565999999999999</v>
      </c>
      <c r="G302" s="11">
        <f t="shared" si="22"/>
        <v>-8.0645903891453322E-3</v>
      </c>
      <c r="H302" s="17">
        <f t="shared" si="24"/>
        <v>-1.8784785292843709E-2</v>
      </c>
    </row>
    <row r="303" spans="1:8" x14ac:dyDescent="0.25">
      <c r="A303" s="2">
        <v>43530</v>
      </c>
      <c r="B303" s="1">
        <v>26.92</v>
      </c>
      <c r="C303" s="6">
        <f t="shared" si="21"/>
        <v>-1.1131725417438806E-3</v>
      </c>
      <c r="D303" s="6">
        <f t="shared" si="20"/>
        <v>-1.1137925784790582E-3</v>
      </c>
      <c r="E303" s="14">
        <f t="shared" si="23"/>
        <v>31.338000000000001</v>
      </c>
      <c r="G303" s="11">
        <f t="shared" si="22"/>
        <v>-7.6822436966536211E-3</v>
      </c>
      <c r="H303" s="17">
        <f t="shared" si="24"/>
        <v>-1.3483487478534313E-2</v>
      </c>
    </row>
    <row r="304" spans="1:8" x14ac:dyDescent="0.25">
      <c r="A304" s="2">
        <v>43561</v>
      </c>
      <c r="B304" s="1">
        <v>28.82</v>
      </c>
      <c r="C304" s="6">
        <f t="shared" si="21"/>
        <v>7.057949479940559E-2</v>
      </c>
      <c r="D304" s="6">
        <f t="shared" si="20"/>
        <v>6.8200085794848944E-2</v>
      </c>
      <c r="E304" s="14">
        <f t="shared" si="23"/>
        <v>31.158000000000001</v>
      </c>
      <c r="G304" s="11">
        <f t="shared" si="22"/>
        <v>-5.8035290690906273E-3</v>
      </c>
      <c r="H304" s="17">
        <f t="shared" si="24"/>
        <v>1.1021584503480664E-2</v>
      </c>
    </row>
    <row r="305" spans="1:8" x14ac:dyDescent="0.25">
      <c r="A305" s="2">
        <v>43591</v>
      </c>
      <c r="B305" s="1">
        <v>30.04</v>
      </c>
      <c r="C305" s="6">
        <f t="shared" si="21"/>
        <v>4.2331714087439236E-2</v>
      </c>
      <c r="D305" s="6">
        <f t="shared" si="20"/>
        <v>4.1460236324557982E-2</v>
      </c>
      <c r="E305" s="14">
        <f t="shared" si="23"/>
        <v>31.010400000000004</v>
      </c>
      <c r="G305" s="11">
        <f t="shared" si="22"/>
        <v>-4.6343128871049813E-3</v>
      </c>
      <c r="H305" s="17">
        <f t="shared" si="24"/>
        <v>2.0153180049803859E-2</v>
      </c>
    </row>
    <row r="306" spans="1:8" x14ac:dyDescent="0.25">
      <c r="A306" s="2">
        <v>43622</v>
      </c>
      <c r="B306" s="1">
        <v>30.06</v>
      </c>
      <c r="C306" s="6">
        <f t="shared" si="21"/>
        <v>6.6577896138480608E-4</v>
      </c>
      <c r="D306" s="6">
        <f t="shared" si="20"/>
        <v>6.6555742889448243E-4</v>
      </c>
      <c r="E306" s="14">
        <f t="shared" si="23"/>
        <v>30.874400000000001</v>
      </c>
      <c r="G306" s="11">
        <f t="shared" si="22"/>
        <v>-4.2862124493539691E-3</v>
      </c>
      <c r="H306" s="17">
        <f t="shared" si="24"/>
        <v>1.4306893263531045E-2</v>
      </c>
    </row>
    <row r="307" spans="1:8" x14ac:dyDescent="0.25">
      <c r="A307" s="2">
        <v>43652</v>
      </c>
      <c r="B307" s="1">
        <v>30.6</v>
      </c>
      <c r="C307" s="6">
        <f t="shared" si="21"/>
        <v>1.7964071856287515E-2</v>
      </c>
      <c r="D307" s="6">
        <f t="shared" si="20"/>
        <v>1.7804624633506686E-2</v>
      </c>
      <c r="E307" s="14">
        <f t="shared" si="23"/>
        <v>30.758400000000002</v>
      </c>
      <c r="G307" s="11">
        <f t="shared" si="22"/>
        <v>-3.6218171949074164E-3</v>
      </c>
      <c r="H307" s="17">
        <f t="shared" si="24"/>
        <v>1.5356212674523737E-2</v>
      </c>
    </row>
    <row r="308" spans="1:8" x14ac:dyDescent="0.25">
      <c r="A308" s="2">
        <v>43744</v>
      </c>
      <c r="B308" s="1">
        <v>30.44</v>
      </c>
      <c r="C308" s="6">
        <f t="shared" si="21"/>
        <v>-5.2287581699346445E-3</v>
      </c>
      <c r="D308" s="6">
        <f t="shared" si="20"/>
        <v>-5.2424759648499828E-3</v>
      </c>
      <c r="E308" s="14">
        <f t="shared" si="23"/>
        <v>30.602800000000002</v>
      </c>
      <c r="G308" s="11">
        <f t="shared" si="22"/>
        <v>-4.8104829790446089E-3</v>
      </c>
      <c r="H308" s="17">
        <f t="shared" si="24"/>
        <v>9.1766060827116209E-3</v>
      </c>
    </row>
    <row r="309" spans="1:8" x14ac:dyDescent="0.25">
      <c r="A309" s="2">
        <v>43775</v>
      </c>
      <c r="B309" s="1">
        <v>30.26</v>
      </c>
      <c r="C309" s="6">
        <f t="shared" si="21"/>
        <v>-5.9132720105124744E-3</v>
      </c>
      <c r="D309" s="6">
        <f t="shared" si="20"/>
        <v>-5.9308246332752486E-3</v>
      </c>
      <c r="E309" s="14">
        <f t="shared" si="23"/>
        <v>30.441600000000005</v>
      </c>
      <c r="G309" s="11">
        <f t="shared" si="22"/>
        <v>-5.0010823245847493E-3</v>
      </c>
      <c r="H309" s="17">
        <f t="shared" si="24"/>
        <v>4.6443768679155601E-3</v>
      </c>
    </row>
    <row r="310" spans="1:8" x14ac:dyDescent="0.25">
      <c r="A310" s="2">
        <v>43805</v>
      </c>
      <c r="B310" s="1">
        <v>30.78</v>
      </c>
      <c r="C310" s="6">
        <f t="shared" si="21"/>
        <v>1.7184401850627876E-2</v>
      </c>
      <c r="D310" s="6">
        <f t="shared" si="20"/>
        <v>1.7038420050523386E-2</v>
      </c>
      <c r="E310" s="14">
        <f t="shared" si="23"/>
        <v>30.330400000000001</v>
      </c>
      <c r="G310" s="11">
        <f t="shared" si="22"/>
        <v>-3.4587901275308784E-3</v>
      </c>
      <c r="H310" s="17">
        <f t="shared" si="24"/>
        <v>8.3625898226979065E-3</v>
      </c>
    </row>
    <row r="311" spans="1:8" x14ac:dyDescent="0.25">
      <c r="A311" s="1" t="s">
        <v>186</v>
      </c>
      <c r="B311" s="1">
        <v>32.75</v>
      </c>
      <c r="C311" s="6">
        <f t="shared" si="21"/>
        <v>6.4002599090318343E-2</v>
      </c>
      <c r="D311" s="6">
        <f t="shared" si="20"/>
        <v>6.2037833670527731E-2</v>
      </c>
      <c r="E311" s="14">
        <f t="shared" si="23"/>
        <v>30.304400000000001</v>
      </c>
      <c r="G311" s="11">
        <f t="shared" si="22"/>
        <v>-7.8611751605573658E-4</v>
      </c>
      <c r="H311" s="17">
        <f t="shared" si="24"/>
        <v>2.4465162977046855E-2</v>
      </c>
    </row>
    <row r="312" spans="1:8" x14ac:dyDescent="0.25">
      <c r="A312" s="1" t="s">
        <v>187</v>
      </c>
      <c r="B312" s="1">
        <v>32.340000000000003</v>
      </c>
      <c r="C312" s="6">
        <f t="shared" si="21"/>
        <v>-1.2519083969465545E-2</v>
      </c>
      <c r="D312" s="6">
        <f t="shared" si="20"/>
        <v>-1.2598107932300038E-2</v>
      </c>
      <c r="E312" s="14">
        <f t="shared" si="23"/>
        <v>30.254000000000001</v>
      </c>
      <c r="G312" s="11">
        <f t="shared" si="22"/>
        <v>-1.5288485128078977E-3</v>
      </c>
      <c r="H312" s="17">
        <f t="shared" si="24"/>
        <v>1.3346181704242788E-2</v>
      </c>
    </row>
    <row r="313" spans="1:8" x14ac:dyDescent="0.25">
      <c r="A313" s="1" t="s">
        <v>188</v>
      </c>
      <c r="B313" s="1">
        <v>32.22</v>
      </c>
      <c r="C313" s="6">
        <f t="shared" si="21"/>
        <v>-3.7105751391467079E-3</v>
      </c>
      <c r="D313" s="6">
        <f t="shared" si="20"/>
        <v>-3.7174764001326431E-3</v>
      </c>
      <c r="E313" s="14">
        <f t="shared" si="23"/>
        <v>30.197200000000002</v>
      </c>
      <c r="G313" s="11">
        <f t="shared" si="22"/>
        <v>-1.7251382942367532E-3</v>
      </c>
      <c r="H313" s="17">
        <f t="shared" si="24"/>
        <v>8.2270842729301567E-3</v>
      </c>
    </row>
    <row r="314" spans="1:8" x14ac:dyDescent="0.25">
      <c r="A314" s="1" t="s">
        <v>189</v>
      </c>
      <c r="B314" s="1">
        <v>32.18</v>
      </c>
      <c r="C314" s="6">
        <f t="shared" si="21"/>
        <v>-1.2414649286157401E-3</v>
      </c>
      <c r="D314" s="6">
        <f t="shared" si="20"/>
        <v>-1.2422361845911684E-3</v>
      </c>
      <c r="E314" s="14">
        <f t="shared" si="23"/>
        <v>30.212000000000003</v>
      </c>
      <c r="G314" s="11">
        <f t="shared" si="22"/>
        <v>4.6257743212738535E-4</v>
      </c>
      <c r="H314" s="17">
        <f t="shared" si="24"/>
        <v>5.3862881356737582E-3</v>
      </c>
    </row>
    <row r="315" spans="1:8" x14ac:dyDescent="0.25">
      <c r="A315" s="1" t="s">
        <v>190</v>
      </c>
      <c r="B315" s="1">
        <v>32.869999999999997</v>
      </c>
      <c r="C315" s="6">
        <f t="shared" si="21"/>
        <v>2.1441889372280851E-2</v>
      </c>
      <c r="D315" s="6">
        <f t="shared" si="20"/>
        <v>2.1215246111890726E-2</v>
      </c>
      <c r="E315" s="14">
        <f t="shared" si="23"/>
        <v>30.246800000000004</v>
      </c>
      <c r="G315" s="11">
        <f t="shared" si="22"/>
        <v>1.0729793950560581E-3</v>
      </c>
      <c r="H315" s="17">
        <f t="shared" si="24"/>
        <v>1.0134975528538849E-2</v>
      </c>
    </row>
    <row r="316" spans="1:8" x14ac:dyDescent="0.25">
      <c r="A316" s="1" t="s">
        <v>191</v>
      </c>
      <c r="B316" s="1">
        <v>31.82</v>
      </c>
      <c r="C316" s="6">
        <f t="shared" si="21"/>
        <v>-3.1944021904472077E-2</v>
      </c>
      <c r="D316" s="6">
        <f t="shared" si="20"/>
        <v>-3.2465364766487162E-2</v>
      </c>
      <c r="E316" s="14">
        <f t="shared" si="23"/>
        <v>30.246400000000005</v>
      </c>
      <c r="G316" s="11">
        <f t="shared" si="22"/>
        <v>-1.2568735374422213E-5</v>
      </c>
      <c r="H316" s="17">
        <f t="shared" si="24"/>
        <v>-2.6451265599689543E-3</v>
      </c>
    </row>
    <row r="317" spans="1:8" x14ac:dyDescent="0.25">
      <c r="A317" s="1" t="s">
        <v>192</v>
      </c>
      <c r="B317" s="1">
        <v>31.24</v>
      </c>
      <c r="C317" s="6">
        <f t="shared" si="21"/>
        <v>-1.8227529855436891E-2</v>
      </c>
      <c r="D317" s="6">
        <f t="shared" si="20"/>
        <v>-1.8395697938155615E-2</v>
      </c>
      <c r="E317" s="14">
        <f t="shared" si="23"/>
        <v>30.216800000000006</v>
      </c>
      <c r="G317" s="11">
        <f t="shared" si="22"/>
        <v>-9.3645529737291827E-4</v>
      </c>
      <c r="H317" s="17">
        <f t="shared" si="24"/>
        <v>-7.3702979734249522E-3</v>
      </c>
    </row>
    <row r="318" spans="1:8" x14ac:dyDescent="0.25">
      <c r="A318" s="1" t="s">
        <v>193</v>
      </c>
      <c r="B318" s="1">
        <v>31.49</v>
      </c>
      <c r="C318" s="6">
        <f t="shared" si="21"/>
        <v>8.0025608194622278E-3</v>
      </c>
      <c r="D318" s="6">
        <f t="shared" si="20"/>
        <v>7.9707101414481021E-3</v>
      </c>
      <c r="E318" s="14">
        <f t="shared" si="23"/>
        <v>30.220000000000006</v>
      </c>
      <c r="G318" s="11">
        <f t="shared" si="22"/>
        <v>1.0174886249512696E-4</v>
      </c>
      <c r="H318" s="17">
        <f t="shared" si="24"/>
        <v>-2.7679955389630353E-3</v>
      </c>
    </row>
    <row r="319" spans="1:8" x14ac:dyDescent="0.25">
      <c r="A319" s="1" t="s">
        <v>194</v>
      </c>
      <c r="B319" s="1">
        <v>30.94</v>
      </c>
      <c r="C319" s="6">
        <f t="shared" si="21"/>
        <v>-1.7465862178469266E-2</v>
      </c>
      <c r="D319" s="6">
        <f t="shared" si="20"/>
        <v>-1.7620189968013095E-2</v>
      </c>
      <c r="E319" s="14">
        <f t="shared" si="23"/>
        <v>30.232000000000006</v>
      </c>
      <c r="G319" s="11">
        <f t="shared" si="22"/>
        <v>3.8974001090118519E-4</v>
      </c>
      <c r="H319" s="17">
        <f t="shared" si="24"/>
        <v>-7.2236538676780527E-3</v>
      </c>
    </row>
    <row r="320" spans="1:8" x14ac:dyDescent="0.25">
      <c r="A320" s="1" t="s">
        <v>195</v>
      </c>
      <c r="B320" s="1">
        <v>31.13</v>
      </c>
      <c r="C320" s="6">
        <f t="shared" si="21"/>
        <v>6.1409179056237141E-3</v>
      </c>
      <c r="D320" s="6">
        <f t="shared" si="20"/>
        <v>6.1221393085967163E-3</v>
      </c>
      <c r="E320" s="14">
        <f t="shared" si="23"/>
        <v>30.238000000000007</v>
      </c>
      <c r="G320" s="11">
        <f t="shared" si="22"/>
        <v>1.9320597859177459E-4</v>
      </c>
      <c r="H320" s="17">
        <f t="shared" si="24"/>
        <v>-3.2199159147956223E-3</v>
      </c>
    </row>
    <row r="321" spans="1:8" x14ac:dyDescent="0.25">
      <c r="A321" s="1" t="s">
        <v>196</v>
      </c>
      <c r="B321" s="1">
        <v>31.82</v>
      </c>
      <c r="C321" s="6">
        <f t="shared" si="21"/>
        <v>2.2165114037905598E-2</v>
      </c>
      <c r="D321" s="6">
        <f t="shared" si="20"/>
        <v>2.1923038456124005E-2</v>
      </c>
      <c r="E321" s="14">
        <f t="shared" si="23"/>
        <v>30.326400000000007</v>
      </c>
      <c r="G321" s="11">
        <f t="shared" si="22"/>
        <v>2.8793152318456416E-3</v>
      </c>
      <c r="H321" s="17">
        <f t="shared" si="24"/>
        <v>4.3229703964802659E-3</v>
      </c>
    </row>
    <row r="322" spans="1:8" x14ac:dyDescent="0.25">
      <c r="A322" s="1" t="s">
        <v>197</v>
      </c>
      <c r="B322" s="1">
        <v>32.270000000000003</v>
      </c>
      <c r="C322" s="6">
        <f t="shared" si="21"/>
        <v>1.4142049025770044E-2</v>
      </c>
      <c r="D322" s="6">
        <f t="shared" si="20"/>
        <v>1.4042983154229676E-2</v>
      </c>
      <c r="E322" s="14">
        <f t="shared" si="23"/>
        <v>30.449600000000004</v>
      </c>
      <c r="G322" s="11">
        <f t="shared" si="22"/>
        <v>4.0124728479138862E-3</v>
      </c>
      <c r="H322" s="17">
        <f t="shared" si="24"/>
        <v>7.2389742238050886E-3</v>
      </c>
    </row>
    <row r="323" spans="1:8" x14ac:dyDescent="0.25">
      <c r="A323" s="2">
        <v>43472</v>
      </c>
      <c r="B323" s="1">
        <v>32.54</v>
      </c>
      <c r="C323" s="6">
        <f t="shared" si="21"/>
        <v>8.3669042454290674E-3</v>
      </c>
      <c r="D323" s="6">
        <f t="shared" si="20"/>
        <v>8.3320957270211684E-3</v>
      </c>
      <c r="E323" s="14">
        <f t="shared" si="23"/>
        <v>30.596400000000003</v>
      </c>
      <c r="G323" s="11">
        <f t="shared" si="22"/>
        <v>4.7866843246419186E-3</v>
      </c>
      <c r="H323" s="17">
        <f t="shared" si="24"/>
        <v>7.5669106747699114E-3</v>
      </c>
    </row>
    <row r="324" spans="1:8" x14ac:dyDescent="0.25">
      <c r="A324" s="2">
        <v>43503</v>
      </c>
      <c r="B324" s="1">
        <v>31.86</v>
      </c>
      <c r="C324" s="6">
        <f t="shared" si="21"/>
        <v>-2.0897357098955124E-2</v>
      </c>
      <c r="D324" s="6">
        <f t="shared" si="20"/>
        <v>-2.111879730898927E-2</v>
      </c>
      <c r="E324" s="14">
        <f t="shared" si="23"/>
        <v>30.733600000000006</v>
      </c>
      <c r="G324" s="11">
        <f t="shared" si="22"/>
        <v>4.5562551527597635E-3</v>
      </c>
      <c r="H324" s="17">
        <f t="shared" si="24"/>
        <v>-1.0388017203578435E-3</v>
      </c>
    </row>
    <row r="325" spans="1:8" x14ac:dyDescent="0.25">
      <c r="A325" s="2">
        <v>43531</v>
      </c>
      <c r="B325" s="1">
        <v>32.380000000000003</v>
      </c>
      <c r="C325" s="6">
        <f t="shared" si="21"/>
        <v>1.6321406151914724E-2</v>
      </c>
      <c r="D325" s="6">
        <f t="shared" ref="D325:D388" si="25">LN(B325/B324)</f>
        <v>1.6189643767586772E-2</v>
      </c>
      <c r="E325" s="14">
        <f t="shared" si="23"/>
        <v>30.904000000000007</v>
      </c>
      <c r="G325" s="11">
        <f t="shared" si="22"/>
        <v>5.6423952522810048E-3</v>
      </c>
      <c r="H325" s="17">
        <f t="shared" si="24"/>
        <v>4.1297319260255412E-3</v>
      </c>
    </row>
    <row r="326" spans="1:8" x14ac:dyDescent="0.25">
      <c r="A326" s="2">
        <v>43592</v>
      </c>
      <c r="B326" s="1">
        <v>32.119999999999997</v>
      </c>
      <c r="C326" s="6">
        <f t="shared" ref="C326:C389" si="26">(B326-B325)/B325</f>
        <v>-8.0296479308216515E-3</v>
      </c>
      <c r="D326" s="6">
        <f t="shared" si="25"/>
        <v>-8.0620591709282697E-3</v>
      </c>
      <c r="E326" s="14">
        <f t="shared" si="23"/>
        <v>31.073600000000006</v>
      </c>
      <c r="G326" s="11">
        <f t="shared" si="22"/>
        <v>5.6627721274495162E-3</v>
      </c>
      <c r="H326" s="17">
        <f t="shared" si="24"/>
        <v>4.7219459693939765E-4</v>
      </c>
    </row>
    <row r="327" spans="1:8" x14ac:dyDescent="0.25">
      <c r="A327" s="2">
        <v>43684</v>
      </c>
      <c r="B327" s="1">
        <v>32.450000000000003</v>
      </c>
      <c r="C327" s="6">
        <f t="shared" si="26"/>
        <v>1.0273972602739895E-2</v>
      </c>
      <c r="D327" s="6">
        <f t="shared" si="25"/>
        <v>1.0221554071538227E-2</v>
      </c>
      <c r="E327" s="14">
        <f t="shared" si="23"/>
        <v>31.293600000000005</v>
      </c>
      <c r="G327" s="11">
        <f t="shared" si="22"/>
        <v>7.4286858318037205E-3</v>
      </c>
      <c r="H327" s="17">
        <f t="shared" si="24"/>
        <v>3.3970024393190461E-3</v>
      </c>
    </row>
    <row r="328" spans="1:8" x14ac:dyDescent="0.25">
      <c r="A328" s="2">
        <v>43715</v>
      </c>
      <c r="B328" s="1">
        <v>32.020000000000003</v>
      </c>
      <c r="C328" s="6">
        <f t="shared" si="26"/>
        <v>-1.325115562403697E-2</v>
      </c>
      <c r="D328" s="6">
        <f t="shared" si="25"/>
        <v>-1.3339735581530397E-2</v>
      </c>
      <c r="E328" s="14">
        <f t="shared" si="23"/>
        <v>31.497600000000006</v>
      </c>
      <c r="G328" s="11">
        <f t="shared" si="22"/>
        <v>6.939648111681667E-3</v>
      </c>
      <c r="H328" s="17">
        <f t="shared" si="24"/>
        <v>-1.6240189669357867E-3</v>
      </c>
    </row>
    <row r="329" spans="1:8" x14ac:dyDescent="0.25">
      <c r="A329" s="2">
        <v>43745</v>
      </c>
      <c r="B329" s="1">
        <v>32.6</v>
      </c>
      <c r="C329" s="6">
        <f t="shared" si="26"/>
        <v>1.8113678950655784E-2</v>
      </c>
      <c r="D329" s="6">
        <f t="shared" si="25"/>
        <v>1.7951580804093235E-2</v>
      </c>
      <c r="E329" s="14">
        <f t="shared" si="23"/>
        <v>31.648800000000001</v>
      </c>
      <c r="G329" s="11">
        <f t="shared" si="22"/>
        <v>4.9297079120514406E-3</v>
      </c>
      <c r="H329" s="17">
        <f t="shared" si="24"/>
        <v>4.2486609643729197E-3</v>
      </c>
    </row>
    <row r="330" spans="1:8" x14ac:dyDescent="0.25">
      <c r="A330" s="2">
        <v>43776</v>
      </c>
      <c r="B330" s="1">
        <v>32.69</v>
      </c>
      <c r="C330" s="6">
        <f t="shared" si="26"/>
        <v>2.7607361963189049E-3</v>
      </c>
      <c r="D330" s="6">
        <f t="shared" si="25"/>
        <v>2.7569323634571625E-3</v>
      </c>
      <c r="E330" s="14">
        <f t="shared" si="23"/>
        <v>31.754800000000003</v>
      </c>
      <c r="G330" s="11">
        <f t="shared" si="22"/>
        <v>3.3815757536074065E-3</v>
      </c>
      <c r="H330" s="17">
        <f t="shared" si="24"/>
        <v>3.801142384098192E-3</v>
      </c>
    </row>
    <row r="331" spans="1:8" x14ac:dyDescent="0.25">
      <c r="A331" s="2">
        <v>43806</v>
      </c>
      <c r="B331" s="1">
        <v>33.43</v>
      </c>
      <c r="C331" s="6">
        <f t="shared" si="26"/>
        <v>2.2636892015907066E-2</v>
      </c>
      <c r="D331" s="6">
        <f t="shared" si="25"/>
        <v>2.2384479695888006E-2</v>
      </c>
      <c r="E331" s="14">
        <f t="shared" si="23"/>
        <v>31.889599999999994</v>
      </c>
      <c r="G331" s="11">
        <f t="shared" si="22"/>
        <v>4.2503326442871478E-3</v>
      </c>
      <c r="H331" s="17">
        <f t="shared" si="24"/>
        <v>9.3761435776351359E-3</v>
      </c>
    </row>
    <row r="332" spans="1:8" x14ac:dyDescent="0.25">
      <c r="A332" s="1" t="s">
        <v>198</v>
      </c>
      <c r="B332" s="1">
        <v>33.26</v>
      </c>
      <c r="C332" s="6">
        <f t="shared" si="26"/>
        <v>-5.0852527669758216E-3</v>
      </c>
      <c r="D332" s="6">
        <f t="shared" si="25"/>
        <v>-5.0982266672256549E-3</v>
      </c>
      <c r="E332" s="14">
        <f t="shared" si="23"/>
        <v>31.995999999999999</v>
      </c>
      <c r="G332" s="11">
        <f t="shared" si="22"/>
        <v>3.3342185922578542E-3</v>
      </c>
      <c r="H332" s="17">
        <f t="shared" si="24"/>
        <v>5.0338325041768984E-3</v>
      </c>
    </row>
    <row r="333" spans="1:8" x14ac:dyDescent="0.25">
      <c r="A333" s="1" t="s">
        <v>199</v>
      </c>
      <c r="B333" s="1">
        <v>33.86</v>
      </c>
      <c r="C333" s="6">
        <f t="shared" si="26"/>
        <v>1.8039687312086633E-2</v>
      </c>
      <c r="D333" s="6">
        <f t="shared" si="25"/>
        <v>1.7878902940207764E-2</v>
      </c>
      <c r="E333" s="14">
        <f t="shared" si="23"/>
        <v>32.132800000000003</v>
      </c>
      <c r="G333" s="11">
        <f t="shared" si="22"/>
        <v>4.259073748460164E-3</v>
      </c>
      <c r="H333" s="17">
        <f t="shared" si="24"/>
        <v>8.887353634986158E-3</v>
      </c>
    </row>
    <row r="334" spans="1:8" x14ac:dyDescent="0.25">
      <c r="A334" s="1" t="s">
        <v>200</v>
      </c>
      <c r="B334" s="1">
        <v>32.909999999999997</v>
      </c>
      <c r="C334" s="6">
        <f t="shared" si="26"/>
        <v>-2.805670407560552E-2</v>
      </c>
      <c r="D334" s="6">
        <f t="shared" si="25"/>
        <v>-2.8457813749740823E-2</v>
      </c>
      <c r="E334" s="14">
        <f t="shared" si="23"/>
        <v>32.238799999999998</v>
      </c>
      <c r="G334" s="11">
        <f t="shared" si="22"/>
        <v>3.3579941838015404E-3</v>
      </c>
      <c r="H334" s="17">
        <f t="shared" si="24"/>
        <v>-2.3161965804319364E-3</v>
      </c>
    </row>
    <row r="335" spans="1:8" x14ac:dyDescent="0.25">
      <c r="A335" s="1" t="s">
        <v>201</v>
      </c>
      <c r="B335" s="1">
        <v>33.39</v>
      </c>
      <c r="C335" s="6">
        <f t="shared" si="26"/>
        <v>1.4585232452142329E-2</v>
      </c>
      <c r="D335" s="6">
        <f t="shared" si="25"/>
        <v>1.4479891000314649E-2</v>
      </c>
      <c r="E335" s="14">
        <f t="shared" si="23"/>
        <v>32.343199999999996</v>
      </c>
      <c r="G335" s="11">
        <f t="shared" si="22"/>
        <v>3.2556530217931917E-3</v>
      </c>
      <c r="H335" s="17">
        <f t="shared" si="24"/>
        <v>2.7226296937920393E-3</v>
      </c>
    </row>
    <row r="336" spans="1:8" x14ac:dyDescent="0.25">
      <c r="A336" s="1" t="s">
        <v>202</v>
      </c>
      <c r="B336" s="1">
        <v>32.74</v>
      </c>
      <c r="C336" s="6">
        <f t="shared" si="26"/>
        <v>-1.9466906259359047E-2</v>
      </c>
      <c r="D336" s="6">
        <f t="shared" si="25"/>
        <v>-1.9658882012574316E-2</v>
      </c>
      <c r="E336" s="14">
        <f t="shared" si="23"/>
        <v>32.342799999999997</v>
      </c>
      <c r="G336" s="11">
        <f t="shared" si="22"/>
        <v>-1.2215605530889739E-5</v>
      </c>
      <c r="H336" s="17">
        <f t="shared" si="24"/>
        <v>-3.9918238181178671E-3</v>
      </c>
    </row>
    <row r="337" spans="1:8" x14ac:dyDescent="0.25">
      <c r="A337" s="1" t="s">
        <v>203</v>
      </c>
      <c r="B337" s="1">
        <v>32.56</v>
      </c>
      <c r="C337" s="6">
        <f t="shared" si="26"/>
        <v>-5.4978619425778774E-3</v>
      </c>
      <c r="D337" s="6">
        <f t="shared" si="25"/>
        <v>-5.5130308086492512E-3</v>
      </c>
      <c r="E337" s="14">
        <f t="shared" si="23"/>
        <v>32.351599999999998</v>
      </c>
      <c r="G337" s="11">
        <f t="shared" si="22"/>
        <v>2.7118747941514196E-4</v>
      </c>
      <c r="H337" s="17">
        <f t="shared" si="24"/>
        <v>-4.4481859152772822E-3</v>
      </c>
    </row>
    <row r="338" spans="1:8" x14ac:dyDescent="0.25">
      <c r="A338" s="1" t="s">
        <v>204</v>
      </c>
      <c r="B338" s="1">
        <v>33.380000000000003</v>
      </c>
      <c r="C338" s="6">
        <f t="shared" si="26"/>
        <v>2.5184275184275191E-2</v>
      </c>
      <c r="D338" s="6">
        <f t="shared" si="25"/>
        <v>2.4872377099349523E-2</v>
      </c>
      <c r="E338" s="14">
        <f t="shared" si="23"/>
        <v>32.397999999999996</v>
      </c>
      <c r="G338" s="11">
        <f t="shared" si="22"/>
        <v>1.4147816193944283E-3</v>
      </c>
      <c r="H338" s="17">
        <f t="shared" si="24"/>
        <v>4.3479829891107588E-3</v>
      </c>
    </row>
    <row r="339" spans="1:8" x14ac:dyDescent="0.25">
      <c r="A339" s="1" t="s">
        <v>205</v>
      </c>
      <c r="B339" s="1">
        <v>34.229999999999997</v>
      </c>
      <c r="C339" s="6">
        <f t="shared" si="26"/>
        <v>2.5464349910125653E-2</v>
      </c>
      <c r="D339" s="6">
        <f t="shared" si="25"/>
        <v>2.514553430840482E-2</v>
      </c>
      <c r="E339" s="14">
        <f t="shared" si="23"/>
        <v>32.479999999999997</v>
      </c>
      <c r="G339" s="11">
        <f t="shared" si="22"/>
        <v>2.4702924391142678E-3</v>
      </c>
      <c r="H339" s="17">
        <f t="shared" si="24"/>
        <v>1.0587248384898976E-2</v>
      </c>
    </row>
    <row r="340" spans="1:8" x14ac:dyDescent="0.25">
      <c r="A340" s="1" t="s">
        <v>206</v>
      </c>
      <c r="B340" s="1">
        <v>31.34</v>
      </c>
      <c r="C340" s="6">
        <f t="shared" si="26"/>
        <v>-8.4428863569967788E-2</v>
      </c>
      <c r="D340" s="6">
        <f t="shared" si="25"/>
        <v>-8.8207215614219139E-2</v>
      </c>
      <c r="E340" s="14">
        <f t="shared" si="23"/>
        <v>32.418800000000005</v>
      </c>
      <c r="G340" s="11">
        <f t="shared" si="22"/>
        <v>-1.9066060299301267E-3</v>
      </c>
      <c r="H340" s="17">
        <f t="shared" si="24"/>
        <v>-1.9051090814836458E-2</v>
      </c>
    </row>
    <row r="341" spans="1:8" x14ac:dyDescent="0.25">
      <c r="A341" s="1" t="s">
        <v>207</v>
      </c>
      <c r="B341" s="1">
        <v>30.92</v>
      </c>
      <c r="C341" s="6">
        <f t="shared" si="26"/>
        <v>-1.340140395660492E-2</v>
      </c>
      <c r="D341" s="6">
        <f t="shared" si="25"/>
        <v>-1.3492013208653519E-2</v>
      </c>
      <c r="E341" s="14">
        <f t="shared" si="23"/>
        <v>32.382800000000003</v>
      </c>
      <c r="G341" s="11">
        <f t="shared" si="22"/>
        <v>-1.1476719676167806E-3</v>
      </c>
      <c r="H341" s="17">
        <f t="shared" si="24"/>
        <v>-1.7383367532981576E-2</v>
      </c>
    </row>
    <row r="342" spans="1:8" x14ac:dyDescent="0.25">
      <c r="A342" s="1" t="s">
        <v>208</v>
      </c>
      <c r="B342" s="1">
        <v>30.42</v>
      </c>
      <c r="C342" s="6">
        <f t="shared" si="26"/>
        <v>-1.6170763260025874E-2</v>
      </c>
      <c r="D342" s="6">
        <f t="shared" si="25"/>
        <v>-1.630293688807441E-2</v>
      </c>
      <c r="E342" s="14">
        <f t="shared" si="23"/>
        <v>32.35</v>
      </c>
      <c r="G342" s="11">
        <f t="shared" si="22"/>
        <v>-1.0639615256135336E-3</v>
      </c>
      <c r="H342" s="17">
        <f t="shared" si="24"/>
        <v>-1.7059238339509425E-2</v>
      </c>
    </row>
    <row r="343" spans="1:8" x14ac:dyDescent="0.25">
      <c r="A343" s="1" t="s">
        <v>209</v>
      </c>
      <c r="B343" s="1">
        <v>30.39</v>
      </c>
      <c r="C343" s="6">
        <f t="shared" si="26"/>
        <v>-9.8619329388563892E-4</v>
      </c>
      <c r="D343" s="6">
        <f t="shared" si="25"/>
        <v>-9.8667990244509745E-4</v>
      </c>
      <c r="E343" s="14">
        <f t="shared" si="23"/>
        <v>32.305999999999997</v>
      </c>
      <c r="G343" s="11">
        <f t="shared" si="22"/>
        <v>-1.4222571273692613E-3</v>
      </c>
      <c r="H343" s="17">
        <f t="shared" si="24"/>
        <v>-1.2237470808390126E-2</v>
      </c>
    </row>
    <row r="344" spans="1:8" x14ac:dyDescent="0.25">
      <c r="A344" s="1" t="s">
        <v>210</v>
      </c>
      <c r="B344" s="1">
        <v>30.19</v>
      </c>
      <c r="C344" s="6">
        <f t="shared" si="26"/>
        <v>-6.5811122079631225E-3</v>
      </c>
      <c r="D344" s="6">
        <f t="shared" si="25"/>
        <v>-6.6028632099542151E-3</v>
      </c>
      <c r="E344" s="14">
        <f t="shared" si="23"/>
        <v>32.275999999999996</v>
      </c>
      <c r="G344" s="11">
        <f t="shared" si="22"/>
        <v>-9.8156405704690614E-4</v>
      </c>
      <c r="H344" s="17">
        <f t="shared" si="24"/>
        <v>-1.0547088528859352E-2</v>
      </c>
    </row>
    <row r="345" spans="1:8" x14ac:dyDescent="0.25">
      <c r="A345" s="2">
        <v>43473</v>
      </c>
      <c r="B345" s="1">
        <v>29.53</v>
      </c>
      <c r="C345" s="6">
        <f t="shared" si="26"/>
        <v>-2.1861543557469363E-2</v>
      </c>
      <c r="D345" s="6">
        <f t="shared" si="25"/>
        <v>-2.2104047962916162E-2</v>
      </c>
      <c r="E345" s="14">
        <f t="shared" si="23"/>
        <v>32.212000000000003</v>
      </c>
      <c r="G345" s="11">
        <f t="shared" si="22"/>
        <v>-2.1106115479074205E-3</v>
      </c>
      <c r="H345" s="17">
        <f t="shared" si="24"/>
        <v>-1.4014176359076393E-2</v>
      </c>
    </row>
    <row r="346" spans="1:8" x14ac:dyDescent="0.25">
      <c r="A346" s="2">
        <v>43504</v>
      </c>
      <c r="B346" s="1">
        <v>29.14</v>
      </c>
      <c r="C346" s="6">
        <f t="shared" si="26"/>
        <v>-1.3206908228919761E-2</v>
      </c>
      <c r="D346" s="6">
        <f t="shared" si="25"/>
        <v>-1.3294894988772574E-2</v>
      </c>
      <c r="E346" s="14">
        <f t="shared" si="23"/>
        <v>32.104799999999997</v>
      </c>
      <c r="G346" s="11">
        <f t="shared" si="22"/>
        <v>-3.5193288857032841E-3</v>
      </c>
      <c r="H346" s="17">
        <f t="shared" si="24"/>
        <v>-1.3798391947985248E-2</v>
      </c>
    </row>
    <row r="347" spans="1:8" x14ac:dyDescent="0.25">
      <c r="A347" s="2">
        <v>43593</v>
      </c>
      <c r="B347" s="1">
        <v>28.23</v>
      </c>
      <c r="C347" s="6">
        <f t="shared" si="26"/>
        <v>-3.122855181880577E-2</v>
      </c>
      <c r="D347" s="6">
        <f t="shared" si="25"/>
        <v>-3.1726558501660847E-2</v>
      </c>
      <c r="E347" s="14">
        <f t="shared" si="23"/>
        <v>31.943200000000001</v>
      </c>
      <c r="G347" s="11">
        <f t="shared" si="22"/>
        <v>-5.350110551938906E-3</v>
      </c>
      <c r="H347" s="17">
        <f t="shared" si="24"/>
        <v>-1.9176841914087927E-2</v>
      </c>
    </row>
    <row r="348" spans="1:8" x14ac:dyDescent="0.25">
      <c r="A348" s="2">
        <v>43624</v>
      </c>
      <c r="B348" s="1">
        <v>28.16</v>
      </c>
      <c r="C348" s="6">
        <f t="shared" si="26"/>
        <v>-2.4796315975912251E-3</v>
      </c>
      <c r="D348" s="6">
        <f t="shared" si="25"/>
        <v>-2.4827109755563284E-3</v>
      </c>
      <c r="E348" s="14">
        <f t="shared" si="23"/>
        <v>31.767999999999997</v>
      </c>
      <c r="G348" s="11">
        <f t="shared" ref="G348:G411" si="27">SUM(D324:D348)/25</f>
        <v>-5.7827028200420046E-3</v>
      </c>
      <c r="H348" s="17">
        <f t="shared" si="24"/>
        <v>-1.4168602632528447E-2</v>
      </c>
    </row>
    <row r="349" spans="1:8" x14ac:dyDescent="0.25">
      <c r="A349" s="2">
        <v>43654</v>
      </c>
      <c r="B349" s="1">
        <v>28.43</v>
      </c>
      <c r="C349" s="6">
        <f t="shared" si="26"/>
        <v>9.5880681818181664E-3</v>
      </c>
      <c r="D349" s="6">
        <f t="shared" si="25"/>
        <v>9.5423943730667034E-3</v>
      </c>
      <c r="E349" s="14">
        <f t="shared" ref="E349:E412" si="28">SUM(B325:B349)/25</f>
        <v>31.630799999999994</v>
      </c>
      <c r="G349" s="11">
        <f t="shared" si="27"/>
        <v>-4.5562551527597661E-3</v>
      </c>
      <c r="H349" s="17">
        <f t="shared" ref="H349:H412" si="29">D349*$N$19+(1-$N$19)*H348</f>
        <v>-7.0553035308499011E-3</v>
      </c>
    </row>
    <row r="350" spans="1:8" x14ac:dyDescent="0.25">
      <c r="A350" s="2">
        <v>43685</v>
      </c>
      <c r="B350" s="1">
        <v>28.88</v>
      </c>
      <c r="C350" s="6">
        <f t="shared" si="26"/>
        <v>1.5828350334154039E-2</v>
      </c>
      <c r="D350" s="6">
        <f t="shared" si="25"/>
        <v>1.5704388361717087E-2</v>
      </c>
      <c r="E350" s="14">
        <f t="shared" si="28"/>
        <v>31.490799999999993</v>
      </c>
      <c r="G350" s="11">
        <f t="shared" si="27"/>
        <v>-4.5756653689945533E-3</v>
      </c>
      <c r="H350" s="17">
        <f t="shared" si="29"/>
        <v>-2.273959630798043E-4</v>
      </c>
    </row>
    <row r="351" spans="1:8" x14ac:dyDescent="0.25">
      <c r="A351" s="2">
        <v>43716</v>
      </c>
      <c r="B351" s="1">
        <v>28.58</v>
      </c>
      <c r="C351" s="6">
        <f t="shared" si="26"/>
        <v>-1.0387811634349056E-2</v>
      </c>
      <c r="D351" s="6">
        <f t="shared" si="25"/>
        <v>-1.0442141522904201E-2</v>
      </c>
      <c r="E351" s="14">
        <f t="shared" si="28"/>
        <v>31.3492</v>
      </c>
      <c r="G351" s="11">
        <f t="shared" si="27"/>
        <v>-4.6708686630735907E-3</v>
      </c>
      <c r="H351" s="17">
        <f t="shared" si="29"/>
        <v>-3.291819631027123E-3</v>
      </c>
    </row>
    <row r="352" spans="1:8" x14ac:dyDescent="0.25">
      <c r="A352" s="2">
        <v>43807</v>
      </c>
      <c r="B352" s="1">
        <v>27.45</v>
      </c>
      <c r="C352" s="6">
        <f t="shared" si="26"/>
        <v>-3.953813855843244E-2</v>
      </c>
      <c r="D352" s="6">
        <f t="shared" si="25"/>
        <v>-4.0341004546181704E-2</v>
      </c>
      <c r="E352" s="14">
        <f t="shared" si="28"/>
        <v>31.149200000000004</v>
      </c>
      <c r="G352" s="11">
        <f t="shared" si="27"/>
        <v>-6.6933710077823885E-3</v>
      </c>
      <c r="H352" s="17">
        <f t="shared" si="29"/>
        <v>-1.4406575105573496E-2</v>
      </c>
    </row>
    <row r="353" spans="1:8" x14ac:dyDescent="0.25">
      <c r="A353" s="1" t="s">
        <v>211</v>
      </c>
      <c r="B353" s="1">
        <v>27.32</v>
      </c>
      <c r="C353" s="6">
        <f t="shared" si="26"/>
        <v>-4.7358834244079781E-3</v>
      </c>
      <c r="D353" s="6">
        <f t="shared" si="25"/>
        <v>-4.7471332529503141E-3</v>
      </c>
      <c r="E353" s="14">
        <f t="shared" si="28"/>
        <v>30.961200000000005</v>
      </c>
      <c r="G353" s="11">
        <f t="shared" si="27"/>
        <v>-6.349666914639185E-3</v>
      </c>
      <c r="H353" s="17">
        <f t="shared" si="29"/>
        <v>-1.1508742549786542E-2</v>
      </c>
    </row>
    <row r="354" spans="1:8" x14ac:dyDescent="0.25">
      <c r="A354" s="1" t="s">
        <v>212</v>
      </c>
      <c r="B354" s="1">
        <v>25.92</v>
      </c>
      <c r="C354" s="6">
        <f t="shared" si="26"/>
        <v>-5.1244509516837428E-2</v>
      </c>
      <c r="D354" s="6">
        <f t="shared" si="25"/>
        <v>-5.260416321851534E-2</v>
      </c>
      <c r="E354" s="14">
        <f t="shared" si="28"/>
        <v>30.694000000000003</v>
      </c>
      <c r="G354" s="11">
        <f t="shared" si="27"/>
        <v>-9.1718966755435279E-3</v>
      </c>
      <c r="H354" s="17">
        <f t="shared" si="29"/>
        <v>-2.383736875040518E-2</v>
      </c>
    </row>
    <row r="355" spans="1:8" x14ac:dyDescent="0.25">
      <c r="A355" s="1" t="s">
        <v>213</v>
      </c>
      <c r="B355" s="1">
        <v>25.23</v>
      </c>
      <c r="C355" s="6">
        <f t="shared" si="26"/>
        <v>-2.6620370370370419E-2</v>
      </c>
      <c r="D355" s="6">
        <f t="shared" si="25"/>
        <v>-2.6981108831107659E-2</v>
      </c>
      <c r="E355" s="14">
        <f t="shared" si="28"/>
        <v>30.395599999999998</v>
      </c>
      <c r="G355" s="11">
        <f t="shared" si="27"/>
        <v>-1.0361418323326122E-2</v>
      </c>
      <c r="H355" s="17">
        <f t="shared" si="29"/>
        <v>-2.4780490774615922E-2</v>
      </c>
    </row>
    <row r="356" spans="1:8" x14ac:dyDescent="0.25">
      <c r="A356" s="1" t="s">
        <v>214</v>
      </c>
      <c r="B356" s="1">
        <v>25.61</v>
      </c>
      <c r="C356" s="6">
        <f t="shared" si="26"/>
        <v>1.5061434799841419E-2</v>
      </c>
      <c r="D356" s="6">
        <f t="shared" si="25"/>
        <v>1.4949137558467494E-2</v>
      </c>
      <c r="E356" s="14">
        <f t="shared" si="28"/>
        <v>30.082800000000002</v>
      </c>
      <c r="G356" s="11">
        <f t="shared" si="27"/>
        <v>-1.0658832008822941E-2</v>
      </c>
      <c r="H356" s="17">
        <f t="shared" si="29"/>
        <v>-1.2861602274690898E-2</v>
      </c>
    </row>
    <row r="357" spans="1:8" x14ac:dyDescent="0.25">
      <c r="A357" s="1" t="s">
        <v>215</v>
      </c>
      <c r="B357" s="1">
        <v>25.92</v>
      </c>
      <c r="C357" s="6">
        <f t="shared" si="26"/>
        <v>1.210464662241321E-2</v>
      </c>
      <c r="D357" s="6">
        <f t="shared" si="25"/>
        <v>1.2031971272640232E-2</v>
      </c>
      <c r="E357" s="14">
        <f t="shared" si="28"/>
        <v>29.789200000000005</v>
      </c>
      <c r="G357" s="11">
        <f t="shared" si="27"/>
        <v>-9.9736240912283065E-3</v>
      </c>
      <c r="H357" s="17">
        <f t="shared" si="29"/>
        <v>-5.3935302104915588E-3</v>
      </c>
    </row>
    <row r="358" spans="1:8" x14ac:dyDescent="0.25">
      <c r="A358" s="1" t="s">
        <v>216</v>
      </c>
      <c r="B358" s="1">
        <v>25.65</v>
      </c>
      <c r="C358" s="6">
        <f t="shared" si="26"/>
        <v>-1.0416666666666786E-2</v>
      </c>
      <c r="D358" s="6">
        <f t="shared" si="25"/>
        <v>-1.0471299867295478E-2</v>
      </c>
      <c r="E358" s="14">
        <f t="shared" si="28"/>
        <v>29.460800000000003</v>
      </c>
      <c r="G358" s="11">
        <f t="shared" si="27"/>
        <v>-1.1107632203528436E-2</v>
      </c>
      <c r="H358" s="17">
        <f t="shared" si="29"/>
        <v>-6.9168611075327343E-3</v>
      </c>
    </row>
    <row r="359" spans="1:8" x14ac:dyDescent="0.25">
      <c r="A359" s="1" t="s">
        <v>217</v>
      </c>
      <c r="B359" s="1">
        <v>26.24</v>
      </c>
      <c r="C359" s="6">
        <f t="shared" si="26"/>
        <v>2.3001949317738787E-2</v>
      </c>
      <c r="D359" s="6">
        <f t="shared" si="25"/>
        <v>2.2741392459109652E-2</v>
      </c>
      <c r="E359" s="14">
        <f t="shared" si="28"/>
        <v>29.194000000000006</v>
      </c>
      <c r="G359" s="11">
        <f t="shared" si="27"/>
        <v>-9.0596639551744178E-3</v>
      </c>
      <c r="H359" s="17">
        <f t="shared" si="29"/>
        <v>1.9806149624599818E-3</v>
      </c>
    </row>
    <row r="360" spans="1:8" x14ac:dyDescent="0.25">
      <c r="A360" s="1" t="s">
        <v>218</v>
      </c>
      <c r="B360" s="1">
        <v>26.35</v>
      </c>
      <c r="C360" s="6">
        <f t="shared" si="26"/>
        <v>4.1920731707318212E-3</v>
      </c>
      <c r="D360" s="6">
        <f t="shared" si="25"/>
        <v>4.1833109114832239E-3</v>
      </c>
      <c r="E360" s="14">
        <f t="shared" si="28"/>
        <v>28.912400000000002</v>
      </c>
      <c r="G360" s="11">
        <f t="shared" si="27"/>
        <v>-9.4715271587276755E-3</v>
      </c>
      <c r="H360" s="17">
        <f t="shared" si="29"/>
        <v>2.6414237471669546E-3</v>
      </c>
    </row>
    <row r="361" spans="1:8" x14ac:dyDescent="0.25">
      <c r="A361" s="1" t="s">
        <v>219</v>
      </c>
      <c r="B361" s="1">
        <v>25.24</v>
      </c>
      <c r="C361" s="6">
        <f t="shared" si="26"/>
        <v>-4.2125237191650962E-2</v>
      </c>
      <c r="D361" s="6">
        <f t="shared" si="25"/>
        <v>-4.3038237314359032E-2</v>
      </c>
      <c r="E361" s="14">
        <f t="shared" si="28"/>
        <v>28.612400000000001</v>
      </c>
      <c r="G361" s="11">
        <f t="shared" si="27"/>
        <v>-1.0406701370799062E-2</v>
      </c>
      <c r="H361" s="17">
        <f t="shared" si="29"/>
        <v>-1.1062474571290842E-2</v>
      </c>
    </row>
    <row r="362" spans="1:8" x14ac:dyDescent="0.25">
      <c r="A362" s="1" t="s">
        <v>220</v>
      </c>
      <c r="B362" s="1">
        <v>25.02</v>
      </c>
      <c r="C362" s="6">
        <f t="shared" si="26"/>
        <v>-8.7163232963549473E-3</v>
      </c>
      <c r="D362" s="6">
        <f t="shared" si="25"/>
        <v>-8.7545326342473011E-3</v>
      </c>
      <c r="E362" s="14">
        <f t="shared" si="28"/>
        <v>28.3108</v>
      </c>
      <c r="G362" s="11">
        <f t="shared" si="27"/>
        <v>-1.0536361443822986E-2</v>
      </c>
      <c r="H362" s="17">
        <f t="shared" si="29"/>
        <v>-1.037009199017778E-2</v>
      </c>
    </row>
    <row r="363" spans="1:8" x14ac:dyDescent="0.25">
      <c r="A363" s="1" t="s">
        <v>221</v>
      </c>
      <c r="B363" s="1">
        <v>24.28</v>
      </c>
      <c r="C363" s="6">
        <f t="shared" si="26"/>
        <v>-2.9576338928856853E-2</v>
      </c>
      <c r="D363" s="6">
        <f t="shared" si="25"/>
        <v>-3.0022538847467455E-2</v>
      </c>
      <c r="E363" s="14">
        <f t="shared" si="28"/>
        <v>27.9468</v>
      </c>
      <c r="G363" s="11">
        <f t="shared" si="27"/>
        <v>-1.2732158081695664E-2</v>
      </c>
      <c r="H363" s="17">
        <f t="shared" si="29"/>
        <v>-1.6265826047364682E-2</v>
      </c>
    </row>
    <row r="364" spans="1:8" x14ac:dyDescent="0.25">
      <c r="A364" s="1" t="s">
        <v>222</v>
      </c>
      <c r="B364" s="1">
        <v>25.16</v>
      </c>
      <c r="C364" s="6">
        <f t="shared" si="26"/>
        <v>3.6243822075782493E-2</v>
      </c>
      <c r="D364" s="6">
        <f t="shared" si="25"/>
        <v>3.5602465640942306E-2</v>
      </c>
      <c r="E364" s="14">
        <f t="shared" si="28"/>
        <v>27.584</v>
      </c>
      <c r="G364" s="11">
        <f t="shared" si="27"/>
        <v>-1.2313880828394163E-2</v>
      </c>
      <c r="H364" s="17">
        <f t="shared" si="29"/>
        <v>-7.053385408725861E-4</v>
      </c>
    </row>
    <row r="365" spans="1:8" x14ac:dyDescent="0.25">
      <c r="A365" s="1" t="s">
        <v>223</v>
      </c>
      <c r="B365" s="1">
        <v>26.14</v>
      </c>
      <c r="C365" s="6">
        <f t="shared" si="26"/>
        <v>3.8950715421303676E-2</v>
      </c>
      <c r="D365" s="6">
        <f t="shared" si="25"/>
        <v>3.8211276363836033E-2</v>
      </c>
      <c r="E365" s="14">
        <f t="shared" si="28"/>
        <v>27.375999999999994</v>
      </c>
      <c r="G365" s="11">
        <f t="shared" si="27"/>
        <v>-7.2571411492719584E-3</v>
      </c>
      <c r="H365" s="17">
        <f t="shared" si="29"/>
        <v>1.0969645930539999E-2</v>
      </c>
    </row>
    <row r="366" spans="1:8" x14ac:dyDescent="0.25">
      <c r="A366" s="1" t="s">
        <v>224</v>
      </c>
      <c r="B366" s="1">
        <v>26.13</v>
      </c>
      <c r="C366" s="6">
        <f t="shared" si="26"/>
        <v>-3.8255547054328855E-4</v>
      </c>
      <c r="D366" s="6">
        <f t="shared" si="25"/>
        <v>-3.8262866355487433E-4</v>
      </c>
      <c r="E366" s="14">
        <f t="shared" si="28"/>
        <v>27.184399999999997</v>
      </c>
      <c r="G366" s="11">
        <f t="shared" si="27"/>
        <v>-6.7327657674680118E-3</v>
      </c>
      <c r="H366" s="17">
        <f t="shared" si="29"/>
        <v>7.5639635523115367E-3</v>
      </c>
    </row>
    <row r="367" spans="1:8" x14ac:dyDescent="0.25">
      <c r="A367" s="2">
        <v>43533</v>
      </c>
      <c r="B367" s="1">
        <v>26.33</v>
      </c>
      <c r="C367" s="6">
        <f t="shared" si="26"/>
        <v>7.6540375047837467E-3</v>
      </c>
      <c r="D367" s="6">
        <f t="shared" si="25"/>
        <v>7.6248939756969145E-3</v>
      </c>
      <c r="E367" s="14">
        <f t="shared" si="28"/>
        <v>27.020799999999998</v>
      </c>
      <c r="G367" s="11">
        <f t="shared" si="27"/>
        <v>-5.7756525329171584E-3</v>
      </c>
      <c r="H367" s="17">
        <f t="shared" si="29"/>
        <v>7.5822426793271495E-3</v>
      </c>
    </row>
    <row r="368" spans="1:8" x14ac:dyDescent="0.25">
      <c r="A368" s="2">
        <v>43564</v>
      </c>
      <c r="B368" s="1">
        <v>26.81</v>
      </c>
      <c r="C368" s="6">
        <f t="shared" si="26"/>
        <v>1.8230155715913424E-2</v>
      </c>
      <c r="D368" s="6">
        <f t="shared" si="25"/>
        <v>1.8065978739649949E-2</v>
      </c>
      <c r="E368" s="14">
        <f t="shared" si="28"/>
        <v>26.877599999999997</v>
      </c>
      <c r="G368" s="11">
        <f t="shared" si="27"/>
        <v>-5.0135461872333554E-3</v>
      </c>
      <c r="H368" s="17">
        <f t="shared" si="29"/>
        <v>1.0727363497423988E-2</v>
      </c>
    </row>
    <row r="369" spans="1:8" x14ac:dyDescent="0.25">
      <c r="A369" s="2">
        <v>43594</v>
      </c>
      <c r="B369" s="1">
        <v>27.5</v>
      </c>
      <c r="C369" s="6">
        <f t="shared" si="26"/>
        <v>2.5736665423349545E-2</v>
      </c>
      <c r="D369" s="6">
        <f t="shared" si="25"/>
        <v>2.5411052424657698E-2</v>
      </c>
      <c r="E369" s="14">
        <f t="shared" si="28"/>
        <v>26.77</v>
      </c>
      <c r="G369" s="11">
        <f t="shared" si="27"/>
        <v>-3.7329895618488807E-3</v>
      </c>
      <c r="H369" s="17">
        <f t="shared" si="29"/>
        <v>1.51324701755941E-2</v>
      </c>
    </row>
    <row r="370" spans="1:8" x14ac:dyDescent="0.25">
      <c r="A370" s="2">
        <v>43625</v>
      </c>
      <c r="B370" s="1">
        <v>27.6</v>
      </c>
      <c r="C370" s="6">
        <f t="shared" si="26"/>
        <v>3.636363636363688E-3</v>
      </c>
      <c r="D370" s="6">
        <f t="shared" si="25"/>
        <v>3.6297680505787311E-3</v>
      </c>
      <c r="E370" s="14">
        <f t="shared" si="28"/>
        <v>26.692800000000005</v>
      </c>
      <c r="G370" s="11">
        <f t="shared" si="27"/>
        <v>-2.7036369213090826E-3</v>
      </c>
      <c r="H370" s="17">
        <f t="shared" si="29"/>
        <v>1.1681659538089488E-2</v>
      </c>
    </row>
    <row r="371" spans="1:8" x14ac:dyDescent="0.25">
      <c r="A371" s="2">
        <v>43717</v>
      </c>
      <c r="B371" s="1">
        <v>28.24</v>
      </c>
      <c r="C371" s="6">
        <f t="shared" si="26"/>
        <v>2.3188405797101339E-2</v>
      </c>
      <c r="D371" s="6">
        <f t="shared" si="25"/>
        <v>2.2923639901936809E-2</v>
      </c>
      <c r="E371" s="14">
        <f t="shared" si="28"/>
        <v>26.656800000000004</v>
      </c>
      <c r="G371" s="11">
        <f t="shared" si="27"/>
        <v>-1.2548955256807075E-3</v>
      </c>
      <c r="H371" s="17">
        <f t="shared" si="29"/>
        <v>1.5054253647243684E-2</v>
      </c>
    </row>
    <row r="372" spans="1:8" x14ac:dyDescent="0.25">
      <c r="A372" s="2">
        <v>43747</v>
      </c>
      <c r="B372" s="1">
        <v>28.92</v>
      </c>
      <c r="C372" s="6">
        <f t="shared" si="26"/>
        <v>2.4079320113314564E-2</v>
      </c>
      <c r="D372" s="6">
        <f t="shared" si="25"/>
        <v>2.3793984665522645E-2</v>
      </c>
      <c r="E372" s="14">
        <f t="shared" si="28"/>
        <v>26.684399999999997</v>
      </c>
      <c r="G372" s="11">
        <f t="shared" si="27"/>
        <v>9.6592620100663168E-4</v>
      </c>
      <c r="H372" s="17">
        <f t="shared" si="29"/>
        <v>1.767617295272737E-2</v>
      </c>
    </row>
    <row r="373" spans="1:8" x14ac:dyDescent="0.25">
      <c r="A373" s="2">
        <v>43778</v>
      </c>
      <c r="B373" s="1">
        <v>29.55</v>
      </c>
      <c r="C373" s="6">
        <f t="shared" si="26"/>
        <v>2.1784232365145192E-2</v>
      </c>
      <c r="D373" s="6">
        <f t="shared" si="25"/>
        <v>2.1550346561543192E-2</v>
      </c>
      <c r="E373" s="14">
        <f t="shared" si="28"/>
        <v>26.739999999999995</v>
      </c>
      <c r="G373" s="11">
        <f t="shared" si="27"/>
        <v>1.9272485024906124E-3</v>
      </c>
      <c r="H373" s="17">
        <f t="shared" si="29"/>
        <v>1.8838425035372114E-2</v>
      </c>
    </row>
    <row r="374" spans="1:8" x14ac:dyDescent="0.25">
      <c r="A374" s="2">
        <v>43808</v>
      </c>
      <c r="B374" s="1">
        <v>29.73</v>
      </c>
      <c r="C374" s="6">
        <f t="shared" si="26"/>
        <v>6.0913705583756248E-3</v>
      </c>
      <c r="D374" s="6">
        <f t="shared" si="25"/>
        <v>6.072893157899082E-3</v>
      </c>
      <c r="E374" s="14">
        <f t="shared" si="28"/>
        <v>26.791999999999998</v>
      </c>
      <c r="G374" s="11">
        <f t="shared" si="27"/>
        <v>1.788468453883908E-3</v>
      </c>
      <c r="H374" s="17">
        <f t="shared" si="29"/>
        <v>1.5008765472130203E-2</v>
      </c>
    </row>
    <row r="375" spans="1:8" x14ac:dyDescent="0.25">
      <c r="A375" s="1" t="s">
        <v>225</v>
      </c>
      <c r="B375" s="1">
        <v>29.74</v>
      </c>
      <c r="C375" s="6">
        <f t="shared" si="26"/>
        <v>3.3636057854012814E-4</v>
      </c>
      <c r="D375" s="6">
        <f t="shared" si="25"/>
        <v>3.363040220025357E-4</v>
      </c>
      <c r="E375" s="14">
        <f t="shared" si="28"/>
        <v>26.8264</v>
      </c>
      <c r="G375" s="11">
        <f t="shared" si="27"/>
        <v>1.1737450802953261E-3</v>
      </c>
      <c r="H375" s="17">
        <f t="shared" si="29"/>
        <v>1.0607027037091902E-2</v>
      </c>
    </row>
    <row r="376" spans="1:8" x14ac:dyDescent="0.25">
      <c r="A376" s="1" t="s">
        <v>226</v>
      </c>
      <c r="B376" s="1">
        <v>27.58</v>
      </c>
      <c r="C376" s="6">
        <f t="shared" si="26"/>
        <v>-7.2629455279085417E-2</v>
      </c>
      <c r="D376" s="6">
        <f t="shared" si="25"/>
        <v>-7.5402068666853228E-2</v>
      </c>
      <c r="E376" s="14">
        <f t="shared" si="28"/>
        <v>26.7864</v>
      </c>
      <c r="G376" s="11">
        <f t="shared" si="27"/>
        <v>-1.4246520054626349E-3</v>
      </c>
      <c r="H376" s="17">
        <f t="shared" si="29"/>
        <v>-1.5195701674091636E-2</v>
      </c>
    </row>
    <row r="377" spans="1:8" x14ac:dyDescent="0.25">
      <c r="A377" s="1" t="s">
        <v>227</v>
      </c>
      <c r="B377" s="1">
        <v>28.44</v>
      </c>
      <c r="C377" s="6">
        <f t="shared" si="26"/>
        <v>3.1182015953589669E-2</v>
      </c>
      <c r="D377" s="6">
        <f t="shared" si="25"/>
        <v>3.070573256988442E-2</v>
      </c>
      <c r="E377" s="14">
        <f t="shared" si="28"/>
        <v>26.826000000000004</v>
      </c>
      <c r="G377" s="11">
        <f t="shared" si="27"/>
        <v>1.4172174791800092E-3</v>
      </c>
      <c r="H377" s="17">
        <f t="shared" si="29"/>
        <v>-1.4252714008988181E-3</v>
      </c>
    </row>
    <row r="378" spans="1:8" x14ac:dyDescent="0.25">
      <c r="A378" s="1" t="s">
        <v>228</v>
      </c>
      <c r="B378" s="1">
        <v>28.4</v>
      </c>
      <c r="C378" s="6">
        <f t="shared" si="26"/>
        <v>-1.4064697609002354E-3</v>
      </c>
      <c r="D378" s="6">
        <f t="shared" si="25"/>
        <v>-1.4074597678798285E-3</v>
      </c>
      <c r="E378" s="14">
        <f t="shared" si="28"/>
        <v>26.869200000000006</v>
      </c>
      <c r="G378" s="11">
        <f t="shared" si="27"/>
        <v>1.5508044185828279E-3</v>
      </c>
      <c r="H378" s="17">
        <f t="shared" si="29"/>
        <v>-1.4199279109931213E-3</v>
      </c>
    </row>
    <row r="379" spans="1:8" x14ac:dyDescent="0.25">
      <c r="A379" s="1" t="s">
        <v>229</v>
      </c>
      <c r="B379" s="1">
        <v>28.1</v>
      </c>
      <c r="C379" s="6">
        <f t="shared" si="26"/>
        <v>-1.0563380281690042E-2</v>
      </c>
      <c r="D379" s="6">
        <f t="shared" si="25"/>
        <v>-1.0619568827460148E-2</v>
      </c>
      <c r="E379" s="14">
        <f t="shared" si="28"/>
        <v>26.956400000000009</v>
      </c>
      <c r="G379" s="11">
        <f t="shared" si="27"/>
        <v>3.2301881942250364E-3</v>
      </c>
      <c r="H379" s="17">
        <f t="shared" si="29"/>
        <v>-4.1798201859332296E-3</v>
      </c>
    </row>
    <row r="380" spans="1:8" x14ac:dyDescent="0.25">
      <c r="A380" s="1" t="s">
        <v>230</v>
      </c>
      <c r="B380" s="1">
        <v>27.8</v>
      </c>
      <c r="C380" s="6">
        <f t="shared" si="26"/>
        <v>-1.0676156583629918E-2</v>
      </c>
      <c r="D380" s="6">
        <f t="shared" si="25"/>
        <v>-1.0733555643108777E-2</v>
      </c>
      <c r="E380" s="14">
        <f t="shared" si="28"/>
        <v>27.059200000000004</v>
      </c>
      <c r="G380" s="11">
        <f t="shared" si="27"/>
        <v>3.8800903217449927E-3</v>
      </c>
      <c r="H380" s="17">
        <f t="shared" si="29"/>
        <v>-6.1459408230858936E-3</v>
      </c>
    </row>
    <row r="381" spans="1:8" x14ac:dyDescent="0.25">
      <c r="A381" s="1" t="s">
        <v>231</v>
      </c>
      <c r="B381" s="1">
        <v>27.31</v>
      </c>
      <c r="C381" s="6">
        <f t="shared" si="26"/>
        <v>-1.7625899280575612E-2</v>
      </c>
      <c r="D381" s="6">
        <f t="shared" si="25"/>
        <v>-1.7783085210977767E-2</v>
      </c>
      <c r="E381" s="14">
        <f t="shared" si="28"/>
        <v>27.127200000000002</v>
      </c>
      <c r="G381" s="11">
        <f t="shared" si="27"/>
        <v>2.570801410967181E-3</v>
      </c>
      <c r="H381" s="17">
        <f t="shared" si="29"/>
        <v>-9.6370841394534563E-3</v>
      </c>
    </row>
    <row r="382" spans="1:8" x14ac:dyDescent="0.25">
      <c r="A382" s="1" t="s">
        <v>232</v>
      </c>
      <c r="B382" s="1">
        <v>26.81</v>
      </c>
      <c r="C382" s="6">
        <f t="shared" si="26"/>
        <v>-1.830831197363603E-2</v>
      </c>
      <c r="D382" s="6">
        <f t="shared" si="25"/>
        <v>-1.8477983237745708E-2</v>
      </c>
      <c r="E382" s="14">
        <f t="shared" si="28"/>
        <v>27.162799999999997</v>
      </c>
      <c r="G382" s="11">
        <f t="shared" si="27"/>
        <v>1.3504032305517442E-3</v>
      </c>
      <c r="H382" s="17">
        <f t="shared" si="29"/>
        <v>-1.2289353868941132E-2</v>
      </c>
    </row>
    <row r="383" spans="1:8" x14ac:dyDescent="0.25">
      <c r="A383" s="1" t="s">
        <v>233</v>
      </c>
      <c r="B383" s="1">
        <v>27.25</v>
      </c>
      <c r="C383" s="6">
        <f t="shared" si="26"/>
        <v>1.6411786646773639E-2</v>
      </c>
      <c r="D383" s="6">
        <f t="shared" si="25"/>
        <v>1.6278568861385234E-2</v>
      </c>
      <c r="E383" s="14">
        <f t="shared" si="28"/>
        <v>27.226799999999997</v>
      </c>
      <c r="G383" s="11">
        <f t="shared" si="27"/>
        <v>2.4203979796989725E-3</v>
      </c>
      <c r="H383" s="17">
        <f t="shared" si="29"/>
        <v>-3.7189770498432225E-3</v>
      </c>
    </row>
    <row r="384" spans="1:8" x14ac:dyDescent="0.25">
      <c r="A384" s="1" t="s">
        <v>234</v>
      </c>
      <c r="B384" s="1">
        <v>27</v>
      </c>
      <c r="C384" s="6">
        <f t="shared" si="26"/>
        <v>-9.1743119266055051E-3</v>
      </c>
      <c r="D384" s="6">
        <f t="shared" si="25"/>
        <v>-9.2166551049239522E-3</v>
      </c>
      <c r="E384" s="14">
        <f t="shared" si="28"/>
        <v>27.257199999999997</v>
      </c>
      <c r="G384" s="11">
        <f t="shared" si="27"/>
        <v>1.1420760771376278E-3</v>
      </c>
      <c r="H384" s="17">
        <f t="shared" si="29"/>
        <v>-5.3682804663674408E-3</v>
      </c>
    </row>
    <row r="385" spans="1:8" x14ac:dyDescent="0.25">
      <c r="A385" s="1" t="s">
        <v>235</v>
      </c>
      <c r="B385" s="1">
        <v>26.82</v>
      </c>
      <c r="C385" s="6">
        <f t="shared" si="26"/>
        <v>-6.6666666666666558E-3</v>
      </c>
      <c r="D385" s="6">
        <f t="shared" si="25"/>
        <v>-6.688988150796652E-3</v>
      </c>
      <c r="E385" s="14">
        <f t="shared" si="28"/>
        <v>27.276</v>
      </c>
      <c r="G385" s="11">
        <f t="shared" si="27"/>
        <v>7.0718411464643235E-4</v>
      </c>
      <c r="H385" s="17">
        <f t="shared" si="29"/>
        <v>-5.7644927716962039E-3</v>
      </c>
    </row>
    <row r="386" spans="1:8" x14ac:dyDescent="0.25">
      <c r="A386" s="1" t="s">
        <v>236</v>
      </c>
      <c r="B386" s="1">
        <v>26.78</v>
      </c>
      <c r="C386" s="6">
        <f t="shared" si="26"/>
        <v>-1.4914243102162248E-3</v>
      </c>
      <c r="D386" s="6">
        <f t="shared" si="25"/>
        <v>-1.4925375905059655E-3</v>
      </c>
      <c r="E386" s="14">
        <f t="shared" si="28"/>
        <v>27.337599999999998</v>
      </c>
      <c r="G386" s="11">
        <f t="shared" si="27"/>
        <v>2.3690121036005567E-3</v>
      </c>
      <c r="H386" s="17">
        <f t="shared" si="29"/>
        <v>-4.482906217339132E-3</v>
      </c>
    </row>
    <row r="387" spans="1:8" x14ac:dyDescent="0.25">
      <c r="A387" s="2">
        <v>43475</v>
      </c>
      <c r="B387" s="1">
        <v>26.62</v>
      </c>
      <c r="C387" s="6">
        <f t="shared" si="26"/>
        <v>-5.9746079163554939E-3</v>
      </c>
      <c r="D387" s="6">
        <f t="shared" si="25"/>
        <v>-5.9925272960608981E-3</v>
      </c>
      <c r="E387" s="14">
        <f t="shared" si="28"/>
        <v>27.401599999999998</v>
      </c>
      <c r="G387" s="11">
        <f t="shared" si="27"/>
        <v>2.4794923171280142E-3</v>
      </c>
      <c r="H387" s="17">
        <f t="shared" si="29"/>
        <v>-4.9357925409556618E-3</v>
      </c>
    </row>
    <row r="388" spans="1:8" x14ac:dyDescent="0.25">
      <c r="A388" s="2">
        <v>43506</v>
      </c>
      <c r="B388" s="1">
        <v>25.19</v>
      </c>
      <c r="C388" s="6">
        <f t="shared" si="26"/>
        <v>-5.3719008264462798E-2</v>
      </c>
      <c r="D388" s="6">
        <f t="shared" si="25"/>
        <v>-5.5215722602446678E-2</v>
      </c>
      <c r="E388" s="14">
        <f t="shared" si="28"/>
        <v>27.438000000000002</v>
      </c>
      <c r="G388" s="11">
        <f t="shared" si="27"/>
        <v>1.4717649669288449E-3</v>
      </c>
      <c r="H388" s="17">
        <f t="shared" si="29"/>
        <v>-2.0019771559402964E-2</v>
      </c>
    </row>
    <row r="389" spans="1:8" x14ac:dyDescent="0.25">
      <c r="A389" s="2">
        <v>43534</v>
      </c>
      <c r="B389" s="1">
        <v>25.1</v>
      </c>
      <c r="C389" s="6">
        <f t="shared" si="26"/>
        <v>-3.572846367606187E-3</v>
      </c>
      <c r="D389" s="6">
        <f t="shared" ref="D389:D452" si="30">LN(B389/B388)</f>
        <v>-3.5792442267806712E-3</v>
      </c>
      <c r="E389" s="14">
        <f t="shared" si="28"/>
        <v>27.435600000000008</v>
      </c>
      <c r="G389" s="11">
        <f t="shared" si="27"/>
        <v>-9.5503427780075018E-5</v>
      </c>
      <c r="H389" s="17">
        <f t="shared" si="29"/>
        <v>-1.5087613359616274E-2</v>
      </c>
    </row>
    <row r="390" spans="1:8" x14ac:dyDescent="0.25">
      <c r="A390" s="2">
        <v>43565</v>
      </c>
      <c r="B390" s="1">
        <v>25.65</v>
      </c>
      <c r="C390" s="6">
        <f t="shared" ref="C390:C453" si="31">(B390-B389)/B389</f>
        <v>2.1912350597609449E-2</v>
      </c>
      <c r="D390" s="6">
        <f t="shared" si="30"/>
        <v>2.1675725479040321E-2</v>
      </c>
      <c r="E390" s="14">
        <f t="shared" si="28"/>
        <v>27.416000000000004</v>
      </c>
      <c r="G390" s="11">
        <f t="shared" si="27"/>
        <v>-7.5692546317190554E-4</v>
      </c>
      <c r="H390" s="17">
        <f t="shared" si="29"/>
        <v>-4.0586117080192953E-3</v>
      </c>
    </row>
    <row r="391" spans="1:8" x14ac:dyDescent="0.25">
      <c r="A391" s="2">
        <v>43656</v>
      </c>
      <c r="B391" s="1">
        <v>25.65</v>
      </c>
      <c r="C391" s="6">
        <f t="shared" si="31"/>
        <v>0</v>
      </c>
      <c r="D391" s="6">
        <f t="shared" si="30"/>
        <v>0</v>
      </c>
      <c r="E391" s="14">
        <f t="shared" si="28"/>
        <v>27.396800000000002</v>
      </c>
      <c r="G391" s="11">
        <f t="shared" si="27"/>
        <v>-7.4162031662971053E-4</v>
      </c>
      <c r="H391" s="17">
        <f t="shared" si="29"/>
        <v>-2.8410281956135065E-3</v>
      </c>
    </row>
    <row r="392" spans="1:8" x14ac:dyDescent="0.25">
      <c r="A392" s="2">
        <v>43687</v>
      </c>
      <c r="B392" s="1">
        <v>26.08</v>
      </c>
      <c r="C392" s="6">
        <f t="shared" si="31"/>
        <v>1.6764132553606228E-2</v>
      </c>
      <c r="D392" s="6">
        <f t="shared" si="30"/>
        <v>1.662516544167374E-2</v>
      </c>
      <c r="E392" s="14">
        <f t="shared" si="28"/>
        <v>27.386800000000004</v>
      </c>
      <c r="G392" s="11">
        <f t="shared" si="27"/>
        <v>-3.8160945799063775E-4</v>
      </c>
      <c r="H392" s="17">
        <f t="shared" si="29"/>
        <v>2.9988298955726674E-3</v>
      </c>
    </row>
    <row r="393" spans="1:8" x14ac:dyDescent="0.25">
      <c r="A393" s="2">
        <v>43718</v>
      </c>
      <c r="B393" s="1">
        <v>26.88</v>
      </c>
      <c r="C393" s="6">
        <f t="shared" si="31"/>
        <v>3.0674846625766899E-2</v>
      </c>
      <c r="D393" s="6">
        <f t="shared" si="30"/>
        <v>3.0213778596496633E-2</v>
      </c>
      <c r="E393" s="14">
        <f t="shared" si="28"/>
        <v>27.389600000000005</v>
      </c>
      <c r="G393" s="11">
        <f t="shared" si="27"/>
        <v>1.0430253628323019E-4</v>
      </c>
      <c r="H393" s="17">
        <f t="shared" si="29"/>
        <v>1.1163314505849857E-2</v>
      </c>
    </row>
    <row r="394" spans="1:8" x14ac:dyDescent="0.25">
      <c r="A394" s="2">
        <v>43748</v>
      </c>
      <c r="B394" s="1">
        <v>26.99</v>
      </c>
      <c r="C394" s="6">
        <f t="shared" si="31"/>
        <v>4.0922619047618842E-3</v>
      </c>
      <c r="D394" s="6">
        <f t="shared" si="30"/>
        <v>4.0839113749644501E-3</v>
      </c>
      <c r="E394" s="14">
        <f t="shared" si="28"/>
        <v>27.369200000000006</v>
      </c>
      <c r="G394" s="11">
        <f t="shared" si="27"/>
        <v>-7.4878310570450021E-4</v>
      </c>
      <c r="H394" s="17">
        <f t="shared" si="29"/>
        <v>9.0394935665842353E-3</v>
      </c>
    </row>
    <row r="395" spans="1:8" x14ac:dyDescent="0.25">
      <c r="A395" s="2">
        <v>43779</v>
      </c>
      <c r="B395" s="1">
        <v>27.17</v>
      </c>
      <c r="C395" s="6">
        <f t="shared" si="31"/>
        <v>6.6691367173028265E-3</v>
      </c>
      <c r="D395" s="6">
        <f t="shared" si="30"/>
        <v>6.6469964083432287E-3</v>
      </c>
      <c r="E395" s="14">
        <f t="shared" si="28"/>
        <v>27.351999999999997</v>
      </c>
      <c r="G395" s="11">
        <f t="shared" si="27"/>
        <v>-6.2809397139391954E-4</v>
      </c>
      <c r="H395" s="17">
        <f t="shared" si="29"/>
        <v>8.3217444191119334E-3</v>
      </c>
    </row>
    <row r="396" spans="1:8" x14ac:dyDescent="0.25">
      <c r="A396" s="1" t="s">
        <v>237</v>
      </c>
      <c r="B396" s="1">
        <v>27.43</v>
      </c>
      <c r="C396" s="6">
        <f t="shared" si="31"/>
        <v>9.5693779904305488E-3</v>
      </c>
      <c r="D396" s="6">
        <f t="shared" si="30"/>
        <v>9.5238815112553207E-3</v>
      </c>
      <c r="E396" s="14">
        <f t="shared" si="28"/>
        <v>27.319600000000001</v>
      </c>
      <c r="G396" s="11">
        <f t="shared" si="27"/>
        <v>-1.1640843070211788E-3</v>
      </c>
      <c r="H396" s="17">
        <f t="shared" si="29"/>
        <v>8.6823855467549494E-3</v>
      </c>
    </row>
    <row r="397" spans="1:8" x14ac:dyDescent="0.25">
      <c r="A397" s="1" t="s">
        <v>238</v>
      </c>
      <c r="B397" s="1">
        <v>28.07</v>
      </c>
      <c r="C397" s="6">
        <f t="shared" si="31"/>
        <v>2.3332118118847996E-2</v>
      </c>
      <c r="D397" s="6">
        <f t="shared" si="30"/>
        <v>2.3064085424279228E-2</v>
      </c>
      <c r="E397" s="14">
        <f t="shared" si="28"/>
        <v>27.285599999999999</v>
      </c>
      <c r="G397" s="11">
        <f t="shared" si="27"/>
        <v>-1.1932802766709146E-3</v>
      </c>
      <c r="H397" s="17">
        <f t="shared" si="29"/>
        <v>1.2996895510012232E-2</v>
      </c>
    </row>
    <row r="398" spans="1:8" x14ac:dyDescent="0.25">
      <c r="A398" s="1" t="s">
        <v>239</v>
      </c>
      <c r="B398" s="1">
        <v>27.86</v>
      </c>
      <c r="C398" s="6">
        <f t="shared" si="31"/>
        <v>-7.4812967581047683E-3</v>
      </c>
      <c r="D398" s="6">
        <f t="shared" si="30"/>
        <v>-7.509422022131459E-3</v>
      </c>
      <c r="E398" s="14">
        <f t="shared" si="28"/>
        <v>27.217999999999996</v>
      </c>
      <c r="G398" s="11">
        <f t="shared" si="27"/>
        <v>-2.3556710200179024E-3</v>
      </c>
      <c r="H398" s="17">
        <f t="shared" si="29"/>
        <v>6.8450002503691234E-3</v>
      </c>
    </row>
    <row r="399" spans="1:8" x14ac:dyDescent="0.25">
      <c r="A399" s="1" t="s">
        <v>240</v>
      </c>
      <c r="B399" s="1">
        <v>27.74</v>
      </c>
      <c r="C399" s="6">
        <f t="shared" si="31"/>
        <v>-4.3072505384063528E-3</v>
      </c>
      <c r="D399" s="6">
        <f t="shared" si="30"/>
        <v>-4.3165534649740982E-3</v>
      </c>
      <c r="E399" s="14">
        <f t="shared" si="28"/>
        <v>27.138399999999997</v>
      </c>
      <c r="G399" s="11">
        <f t="shared" si="27"/>
        <v>-2.7712488849328297E-3</v>
      </c>
      <c r="H399" s="17">
        <f t="shared" si="29"/>
        <v>3.4965341357661561E-3</v>
      </c>
    </row>
    <row r="400" spans="1:8" x14ac:dyDescent="0.25">
      <c r="A400" s="1" t="s">
        <v>241</v>
      </c>
      <c r="B400" s="1">
        <v>28.03</v>
      </c>
      <c r="C400" s="6">
        <f t="shared" si="31"/>
        <v>1.0454217736121223E-2</v>
      </c>
      <c r="D400" s="6">
        <f t="shared" si="30"/>
        <v>1.0399950290011572E-2</v>
      </c>
      <c r="E400" s="14">
        <f t="shared" si="28"/>
        <v>27.069999999999997</v>
      </c>
      <c r="G400" s="11">
        <f t="shared" si="27"/>
        <v>-2.3687030342124677E-3</v>
      </c>
      <c r="H400" s="17">
        <f t="shared" si="29"/>
        <v>5.5675589820397805E-3</v>
      </c>
    </row>
    <row r="401" spans="1:8" x14ac:dyDescent="0.25">
      <c r="A401" s="1" t="s">
        <v>242</v>
      </c>
      <c r="B401" s="1">
        <v>28.42</v>
      </c>
      <c r="C401" s="6">
        <f t="shared" si="31"/>
        <v>1.3913663931501981E-2</v>
      </c>
      <c r="D401" s="6">
        <f t="shared" si="30"/>
        <v>1.3817757492257767E-2</v>
      </c>
      <c r="E401" s="14">
        <f t="shared" si="28"/>
        <v>27.103599999999997</v>
      </c>
      <c r="G401" s="11">
        <f t="shared" si="27"/>
        <v>1.2000900121519728E-3</v>
      </c>
      <c r="H401" s="17">
        <f t="shared" si="29"/>
        <v>8.0426185351051768E-3</v>
      </c>
    </row>
    <row r="402" spans="1:8" x14ac:dyDescent="0.25">
      <c r="A402" s="1" t="s">
        <v>243</v>
      </c>
      <c r="B402" s="1">
        <v>28.06</v>
      </c>
      <c r="C402" s="6">
        <f t="shared" si="31"/>
        <v>-1.2667135819845283E-2</v>
      </c>
      <c r="D402" s="6">
        <f t="shared" si="30"/>
        <v>-1.2748047994639763E-2</v>
      </c>
      <c r="E402" s="14">
        <f t="shared" si="28"/>
        <v>27.088399999999996</v>
      </c>
      <c r="G402" s="11">
        <f t="shared" si="27"/>
        <v>-5.3806121042899503E-4</v>
      </c>
      <c r="H402" s="17">
        <f t="shared" si="29"/>
        <v>1.8054185761816948E-3</v>
      </c>
    </row>
    <row r="403" spans="1:8" x14ac:dyDescent="0.25">
      <c r="A403" s="1" t="s">
        <v>244</v>
      </c>
      <c r="B403" s="1">
        <v>28.09</v>
      </c>
      <c r="C403" s="6">
        <f t="shared" si="31"/>
        <v>1.0691375623663984E-3</v>
      </c>
      <c r="D403" s="6">
        <f t="shared" si="30"/>
        <v>1.0685664418374349E-3</v>
      </c>
      <c r="E403" s="14">
        <f t="shared" si="28"/>
        <v>27.075999999999993</v>
      </c>
      <c r="G403" s="11">
        <f t="shared" si="27"/>
        <v>-4.390201620403039E-4</v>
      </c>
      <c r="H403" s="17">
        <f t="shared" si="29"/>
        <v>1.5843629358784166E-3</v>
      </c>
    </row>
    <row r="404" spans="1:8" x14ac:dyDescent="0.25">
      <c r="A404" s="1" t="s">
        <v>245</v>
      </c>
      <c r="B404" s="1">
        <v>29.21</v>
      </c>
      <c r="C404" s="6">
        <f t="shared" si="31"/>
        <v>3.9871840512637986E-2</v>
      </c>
      <c r="D404" s="6">
        <f t="shared" si="30"/>
        <v>3.9097475283497274E-2</v>
      </c>
      <c r="E404" s="14">
        <f t="shared" si="28"/>
        <v>27.120399999999997</v>
      </c>
      <c r="G404" s="11">
        <f t="shared" si="27"/>
        <v>1.5496616023979932E-3</v>
      </c>
      <c r="H404" s="17">
        <f t="shared" si="29"/>
        <v>1.2838296640164074E-2</v>
      </c>
    </row>
    <row r="405" spans="1:8" x14ac:dyDescent="0.25">
      <c r="A405" s="1" t="s">
        <v>246</v>
      </c>
      <c r="B405" s="1">
        <v>30.65</v>
      </c>
      <c r="C405" s="6">
        <f t="shared" si="31"/>
        <v>4.9298185552892768E-2</v>
      </c>
      <c r="D405" s="6">
        <f t="shared" si="30"/>
        <v>4.8121545982570645E-2</v>
      </c>
      <c r="E405" s="14">
        <f t="shared" si="28"/>
        <v>27.234399999999997</v>
      </c>
      <c r="G405" s="11">
        <f t="shared" si="27"/>
        <v>3.9038656674251692E-3</v>
      </c>
      <c r="H405" s="17">
        <f t="shared" si="29"/>
        <v>2.3423271442886043E-2</v>
      </c>
    </row>
    <row r="406" spans="1:8" x14ac:dyDescent="0.25">
      <c r="A406" s="1" t="s">
        <v>247</v>
      </c>
      <c r="B406" s="1">
        <v>31.14</v>
      </c>
      <c r="C406" s="6">
        <f t="shared" si="31"/>
        <v>1.5986949429037587E-2</v>
      </c>
      <c r="D406" s="6">
        <f t="shared" si="30"/>
        <v>1.5860504023632011E-2</v>
      </c>
      <c r="E406" s="14">
        <f t="shared" si="28"/>
        <v>27.387599999999999</v>
      </c>
      <c r="G406" s="11">
        <f t="shared" si="27"/>
        <v>5.2496092368095604E-3</v>
      </c>
      <c r="H406" s="17">
        <f t="shared" si="29"/>
        <v>2.1154441217109833E-2</v>
      </c>
    </row>
    <row r="407" spans="1:8" x14ac:dyDescent="0.25">
      <c r="A407" s="1" t="s">
        <v>248</v>
      </c>
      <c r="B407" s="1">
        <v>30.71</v>
      </c>
      <c r="C407" s="6">
        <f t="shared" si="31"/>
        <v>-1.3808606294155418E-2</v>
      </c>
      <c r="D407" s="6">
        <f t="shared" si="30"/>
        <v>-1.3904831953121212E-2</v>
      </c>
      <c r="E407" s="14">
        <f t="shared" si="28"/>
        <v>27.543600000000005</v>
      </c>
      <c r="G407" s="11">
        <f t="shared" si="27"/>
        <v>5.4325352881945408E-3</v>
      </c>
      <c r="H407" s="17">
        <f t="shared" si="29"/>
        <v>1.0636659266040519E-2</v>
      </c>
    </row>
    <row r="408" spans="1:8" x14ac:dyDescent="0.25">
      <c r="A408" s="1" t="s">
        <v>249</v>
      </c>
      <c r="B408" s="1">
        <v>30.08</v>
      </c>
      <c r="C408" s="6">
        <f t="shared" si="31"/>
        <v>-2.0514490394008548E-2</v>
      </c>
      <c r="D408" s="6">
        <f t="shared" si="30"/>
        <v>-2.0727835371092004E-2</v>
      </c>
      <c r="E408" s="14">
        <f t="shared" si="28"/>
        <v>27.656800000000008</v>
      </c>
      <c r="G408" s="11">
        <f t="shared" si="27"/>
        <v>3.9522791188954512E-3</v>
      </c>
      <c r="H408" s="17">
        <f t="shared" si="29"/>
        <v>1.2273108749007618E-3</v>
      </c>
    </row>
    <row r="409" spans="1:8" x14ac:dyDescent="0.25">
      <c r="A409" s="1" t="s">
        <v>250</v>
      </c>
      <c r="B409" s="1">
        <v>29.85</v>
      </c>
      <c r="C409" s="6">
        <f t="shared" si="31"/>
        <v>-7.6462765957445774E-3</v>
      </c>
      <c r="D409" s="6">
        <f t="shared" si="30"/>
        <v>-7.6756592430278726E-3</v>
      </c>
      <c r="E409" s="14">
        <f t="shared" si="28"/>
        <v>27.770800000000008</v>
      </c>
      <c r="G409" s="11">
        <f t="shared" si="27"/>
        <v>4.0139189533712942E-3</v>
      </c>
      <c r="H409" s="17">
        <f t="shared" si="29"/>
        <v>-1.4435801604778284E-3</v>
      </c>
    </row>
    <row r="410" spans="1:8" x14ac:dyDescent="0.25">
      <c r="A410" s="2">
        <v>43476</v>
      </c>
      <c r="B410" s="1">
        <v>30.35</v>
      </c>
      <c r="C410" s="6">
        <f t="shared" si="31"/>
        <v>1.675041876046901E-2</v>
      </c>
      <c r="D410" s="6">
        <f t="shared" si="30"/>
        <v>1.6611677666896175E-2</v>
      </c>
      <c r="E410" s="14">
        <f t="shared" si="28"/>
        <v>27.912000000000003</v>
      </c>
      <c r="G410" s="11">
        <f t="shared" si="27"/>
        <v>4.9459455860790084E-3</v>
      </c>
      <c r="H410" s="17">
        <f t="shared" si="29"/>
        <v>3.972997187734373E-3</v>
      </c>
    </row>
    <row r="411" spans="1:8" x14ac:dyDescent="0.25">
      <c r="A411" s="2">
        <v>43566</v>
      </c>
      <c r="B411" s="1">
        <v>30.74</v>
      </c>
      <c r="C411" s="6">
        <f t="shared" si="31"/>
        <v>1.28500823723228E-2</v>
      </c>
      <c r="D411" s="6">
        <f t="shared" si="30"/>
        <v>1.2768220604942405E-2</v>
      </c>
      <c r="E411" s="14">
        <f t="shared" si="28"/>
        <v>28.070400000000003</v>
      </c>
      <c r="G411" s="11">
        <f t="shared" si="27"/>
        <v>5.5163759138969429E-3</v>
      </c>
      <c r="H411" s="17">
        <f t="shared" si="29"/>
        <v>6.6115642128967821E-3</v>
      </c>
    </row>
    <row r="412" spans="1:8" x14ac:dyDescent="0.25">
      <c r="A412" s="2">
        <v>43596</v>
      </c>
      <c r="B412" s="1">
        <v>31.07</v>
      </c>
      <c r="C412" s="6">
        <f t="shared" si="31"/>
        <v>1.0735198438516651E-2</v>
      </c>
      <c r="D412" s="6">
        <f t="shared" si="30"/>
        <v>1.0677985294506309E-2</v>
      </c>
      <c r="E412" s="14">
        <f t="shared" si="28"/>
        <v>28.248400000000007</v>
      </c>
      <c r="G412" s="11">
        <f t="shared" ref="G412:G475" si="32">SUM(D388:D412)/25</f>
        <v>6.183196417519631E-3</v>
      </c>
      <c r="H412" s="17">
        <f t="shared" si="29"/>
        <v>7.8314905373796408E-3</v>
      </c>
    </row>
    <row r="413" spans="1:8" x14ac:dyDescent="0.25">
      <c r="A413" s="2">
        <v>43627</v>
      </c>
      <c r="B413" s="1">
        <v>30.85</v>
      </c>
      <c r="C413" s="6">
        <f t="shared" si="31"/>
        <v>-7.0807853234631114E-3</v>
      </c>
      <c r="D413" s="6">
        <f t="shared" si="30"/>
        <v>-7.1059730535591899E-3</v>
      </c>
      <c r="E413" s="14">
        <f t="shared" ref="E413:E476" si="33">SUM(B389:B413)/25</f>
        <v>28.474800000000009</v>
      </c>
      <c r="G413" s="11">
        <f t="shared" si="32"/>
        <v>8.1075863994751283E-3</v>
      </c>
      <c r="H413" s="17">
        <f t="shared" ref="H413:H476" si="34">D413*$N$19+(1-$N$19)*H412</f>
        <v>3.3502514600979917E-3</v>
      </c>
    </row>
    <row r="414" spans="1:8" x14ac:dyDescent="0.25">
      <c r="A414" s="2">
        <v>43657</v>
      </c>
      <c r="B414" s="1">
        <v>30.78</v>
      </c>
      <c r="C414" s="6">
        <f t="shared" si="31"/>
        <v>-2.2690437601296689E-3</v>
      </c>
      <c r="D414" s="6">
        <f t="shared" si="30"/>
        <v>-2.2716219406637016E-3</v>
      </c>
      <c r="E414" s="14">
        <f t="shared" si="33"/>
        <v>28.702000000000002</v>
      </c>
      <c r="G414" s="11">
        <f t="shared" si="32"/>
        <v>8.1598912909198081E-3</v>
      </c>
      <c r="H414" s="17">
        <f t="shared" si="34"/>
        <v>1.6636894398694836E-3</v>
      </c>
    </row>
    <row r="415" spans="1:8" x14ac:dyDescent="0.25">
      <c r="A415" s="2">
        <v>43688</v>
      </c>
      <c r="B415" s="1">
        <v>30.65</v>
      </c>
      <c r="C415" s="6">
        <f t="shared" si="31"/>
        <v>-4.2235217673814995E-3</v>
      </c>
      <c r="D415" s="6">
        <f t="shared" si="30"/>
        <v>-4.2324660285128447E-3</v>
      </c>
      <c r="E415" s="14">
        <f t="shared" si="33"/>
        <v>28.901999999999997</v>
      </c>
      <c r="G415" s="11">
        <f t="shared" si="32"/>
        <v>7.1235636306176816E-3</v>
      </c>
      <c r="H415" s="17">
        <f t="shared" si="34"/>
        <v>-1.0515720064521489E-4</v>
      </c>
    </row>
    <row r="416" spans="1:8" x14ac:dyDescent="0.25">
      <c r="A416" s="2">
        <v>43780</v>
      </c>
      <c r="B416" s="1">
        <v>30.48</v>
      </c>
      <c r="C416" s="6">
        <f t="shared" si="31"/>
        <v>-5.5464926590537734E-3</v>
      </c>
      <c r="D416" s="6">
        <f t="shared" si="30"/>
        <v>-5.5619315637748731E-3</v>
      </c>
      <c r="E416" s="14">
        <f t="shared" si="33"/>
        <v>29.095199999999995</v>
      </c>
      <c r="G416" s="11">
        <f t="shared" si="32"/>
        <v>6.9010863680666864E-3</v>
      </c>
      <c r="H416" s="17">
        <f t="shared" si="34"/>
        <v>-1.7421895095841124E-3</v>
      </c>
    </row>
    <row r="417" spans="1:8" x14ac:dyDescent="0.25">
      <c r="A417" s="2">
        <v>43810</v>
      </c>
      <c r="B417" s="1">
        <v>29.41</v>
      </c>
      <c r="C417" s="6">
        <f t="shared" si="31"/>
        <v>-3.5104986876640432E-2</v>
      </c>
      <c r="D417" s="6">
        <f t="shared" si="30"/>
        <v>-3.5735978252541878E-2</v>
      </c>
      <c r="E417" s="14">
        <f t="shared" si="33"/>
        <v>29.228399999999997</v>
      </c>
      <c r="G417" s="11">
        <f t="shared" si="32"/>
        <v>4.8066406202980612E-3</v>
      </c>
      <c r="H417" s="17">
        <f t="shared" si="34"/>
        <v>-1.1940326132471441E-2</v>
      </c>
    </row>
    <row r="418" spans="1:8" x14ac:dyDescent="0.25">
      <c r="A418" s="1" t="s">
        <v>251</v>
      </c>
      <c r="B418" s="1">
        <v>28.55</v>
      </c>
      <c r="C418" s="6">
        <f t="shared" si="31"/>
        <v>-2.9241754505270296E-2</v>
      </c>
      <c r="D418" s="6">
        <f t="shared" si="30"/>
        <v>-2.9677816463884454E-2</v>
      </c>
      <c r="E418" s="14">
        <f t="shared" si="33"/>
        <v>29.295199999999994</v>
      </c>
      <c r="G418" s="11">
        <f t="shared" si="32"/>
        <v>2.4109768178828183E-3</v>
      </c>
      <c r="H418" s="17">
        <f t="shared" si="34"/>
        <v>-1.7261573231895345E-2</v>
      </c>
    </row>
    <row r="419" spans="1:8" x14ac:dyDescent="0.25">
      <c r="A419" s="1" t="s">
        <v>252</v>
      </c>
      <c r="B419" s="1">
        <v>28.66</v>
      </c>
      <c r="C419" s="6">
        <f t="shared" si="31"/>
        <v>3.8528896672504176E-3</v>
      </c>
      <c r="D419" s="6">
        <f t="shared" si="30"/>
        <v>3.8454862980066332E-3</v>
      </c>
      <c r="E419" s="14">
        <f t="shared" si="33"/>
        <v>29.361999999999998</v>
      </c>
      <c r="G419" s="11">
        <f t="shared" si="32"/>
        <v>2.4014398148045051E-3</v>
      </c>
      <c r="H419" s="17">
        <f t="shared" si="34"/>
        <v>-1.0929455372924751E-2</v>
      </c>
    </row>
    <row r="420" spans="1:8" x14ac:dyDescent="0.25">
      <c r="A420" s="1" t="s">
        <v>253</v>
      </c>
      <c r="B420" s="1">
        <v>28.75</v>
      </c>
      <c r="C420" s="6">
        <f t="shared" si="31"/>
        <v>3.140265177948355E-3</v>
      </c>
      <c r="D420" s="6">
        <f t="shared" si="30"/>
        <v>3.1353448433337041E-3</v>
      </c>
      <c r="E420" s="14">
        <f t="shared" si="33"/>
        <v>29.425199999999997</v>
      </c>
      <c r="G420" s="11">
        <f t="shared" si="32"/>
        <v>2.2609737522041248E-3</v>
      </c>
      <c r="H420" s="17">
        <f t="shared" si="34"/>
        <v>-6.7100153080472142E-3</v>
      </c>
    </row>
    <row r="421" spans="1:8" x14ac:dyDescent="0.25">
      <c r="A421" s="1" t="s">
        <v>254</v>
      </c>
      <c r="B421" s="1">
        <v>28.49</v>
      </c>
      <c r="C421" s="6">
        <f t="shared" si="31"/>
        <v>-9.0434782608696199E-3</v>
      </c>
      <c r="D421" s="6">
        <f t="shared" si="30"/>
        <v>-9.084618733542554E-3</v>
      </c>
      <c r="E421" s="14">
        <f t="shared" si="33"/>
        <v>29.467599999999997</v>
      </c>
      <c r="G421" s="11">
        <f t="shared" si="32"/>
        <v>1.5166337424122095E-3</v>
      </c>
      <c r="H421" s="17">
        <f t="shared" si="34"/>
        <v>-7.4223963356958161E-3</v>
      </c>
    </row>
    <row r="422" spans="1:8" x14ac:dyDescent="0.25">
      <c r="A422" s="1" t="s">
        <v>255</v>
      </c>
      <c r="B422" s="1">
        <v>29.18</v>
      </c>
      <c r="C422" s="6">
        <f t="shared" si="31"/>
        <v>2.4219024219024266E-2</v>
      </c>
      <c r="D422" s="6">
        <f t="shared" si="30"/>
        <v>2.3930394584822771E-2</v>
      </c>
      <c r="E422" s="14">
        <f t="shared" si="33"/>
        <v>29.511999999999993</v>
      </c>
      <c r="G422" s="11">
        <f t="shared" si="32"/>
        <v>1.5512861088339519E-3</v>
      </c>
      <c r="H422" s="17">
        <f t="shared" si="34"/>
        <v>1.9834409404597599E-3</v>
      </c>
    </row>
    <row r="423" spans="1:8" x14ac:dyDescent="0.25">
      <c r="A423" s="1" t="s">
        <v>256</v>
      </c>
      <c r="B423" s="1">
        <v>28.13</v>
      </c>
      <c r="C423" s="6">
        <f t="shared" si="31"/>
        <v>-3.5983550376970555E-2</v>
      </c>
      <c r="D423" s="6">
        <f t="shared" si="30"/>
        <v>-3.6646920592874117E-2</v>
      </c>
      <c r="E423" s="14">
        <f t="shared" si="33"/>
        <v>29.522799999999997</v>
      </c>
      <c r="G423" s="11">
        <f t="shared" si="32"/>
        <v>3.8578616600424415E-4</v>
      </c>
      <c r="H423" s="17">
        <f t="shared" si="34"/>
        <v>-9.6056675195404038E-3</v>
      </c>
    </row>
    <row r="424" spans="1:8" x14ac:dyDescent="0.25">
      <c r="A424" s="1" t="s">
        <v>257</v>
      </c>
      <c r="B424" s="1">
        <v>27.83</v>
      </c>
      <c r="C424" s="6">
        <f t="shared" si="31"/>
        <v>-1.0664770707429817E-2</v>
      </c>
      <c r="D424" s="6">
        <f t="shared" si="30"/>
        <v>-1.0722046963966052E-2</v>
      </c>
      <c r="E424" s="14">
        <f t="shared" si="33"/>
        <v>29.526399999999999</v>
      </c>
      <c r="G424" s="11">
        <f t="shared" si="32"/>
        <v>1.2956642604456669E-4</v>
      </c>
      <c r="H424" s="17">
        <f t="shared" si="34"/>
        <v>-9.940581352868098E-3</v>
      </c>
    </row>
    <row r="425" spans="1:8" x14ac:dyDescent="0.25">
      <c r="A425" s="1" t="s">
        <v>258</v>
      </c>
      <c r="B425" s="1">
        <v>28.57</v>
      </c>
      <c r="C425" s="6">
        <f t="shared" si="31"/>
        <v>2.6590010779734174E-2</v>
      </c>
      <c r="D425" s="6">
        <f t="shared" si="30"/>
        <v>2.6242640704882299E-2</v>
      </c>
      <c r="E425" s="14">
        <f t="shared" si="33"/>
        <v>29.548000000000005</v>
      </c>
      <c r="G425" s="11">
        <f t="shared" si="32"/>
        <v>7.6327404263939515E-4</v>
      </c>
      <c r="H425" s="17">
        <f t="shared" si="34"/>
        <v>9.1438526445702158E-4</v>
      </c>
    </row>
    <row r="426" spans="1:8" x14ac:dyDescent="0.25">
      <c r="A426" s="1" t="s">
        <v>259</v>
      </c>
      <c r="B426" s="1">
        <v>28.88</v>
      </c>
      <c r="C426" s="6">
        <f t="shared" si="31"/>
        <v>1.0850542527126311E-2</v>
      </c>
      <c r="D426" s="6">
        <f t="shared" si="30"/>
        <v>1.0792097781943781E-2</v>
      </c>
      <c r="E426" s="14">
        <f t="shared" si="33"/>
        <v>29.566400000000002</v>
      </c>
      <c r="G426" s="11">
        <f t="shared" si="32"/>
        <v>6.4224765422683642E-4</v>
      </c>
      <c r="H426" s="17">
        <f t="shared" si="34"/>
        <v>3.8776990197030492E-3</v>
      </c>
    </row>
    <row r="427" spans="1:8" x14ac:dyDescent="0.25">
      <c r="A427" s="1" t="s">
        <v>260</v>
      </c>
      <c r="B427" s="1">
        <v>28.94</v>
      </c>
      <c r="C427" s="6">
        <f t="shared" si="31"/>
        <v>2.0775623268698847E-3</v>
      </c>
      <c r="D427" s="6">
        <f t="shared" si="30"/>
        <v>2.0754071787123579E-3</v>
      </c>
      <c r="E427" s="14">
        <f t="shared" si="33"/>
        <v>29.601600000000005</v>
      </c>
      <c r="G427" s="11">
        <f t="shared" si="32"/>
        <v>1.2351858611609216E-3</v>
      </c>
      <c r="H427" s="17">
        <f t="shared" si="34"/>
        <v>3.3370114674058419E-3</v>
      </c>
    </row>
    <row r="428" spans="1:8" x14ac:dyDescent="0.25">
      <c r="A428" s="1" t="s">
        <v>261</v>
      </c>
      <c r="B428" s="1">
        <v>28.84</v>
      </c>
      <c r="C428" s="6">
        <f t="shared" si="31"/>
        <v>-3.4554250172771739E-3</v>
      </c>
      <c r="D428" s="6">
        <f t="shared" si="30"/>
        <v>-3.4614087865894871E-3</v>
      </c>
      <c r="E428" s="14">
        <f t="shared" si="33"/>
        <v>29.631600000000006</v>
      </c>
      <c r="G428" s="11">
        <f t="shared" si="32"/>
        <v>1.0539868520238454E-3</v>
      </c>
      <c r="H428" s="17">
        <f t="shared" si="34"/>
        <v>1.2974853912072429E-3</v>
      </c>
    </row>
    <row r="429" spans="1:8" x14ac:dyDescent="0.25">
      <c r="A429" s="1" t="s">
        <v>262</v>
      </c>
      <c r="B429" s="1">
        <v>28.63</v>
      </c>
      <c r="C429" s="6">
        <f t="shared" si="31"/>
        <v>-7.2815533980582822E-3</v>
      </c>
      <c r="D429" s="6">
        <f t="shared" si="30"/>
        <v>-7.3081933067246406E-3</v>
      </c>
      <c r="E429" s="14">
        <f t="shared" si="33"/>
        <v>29.60840000000001</v>
      </c>
      <c r="G429" s="11">
        <f t="shared" si="32"/>
        <v>-8.0223989158503155E-4</v>
      </c>
      <c r="H429" s="17">
        <f t="shared" si="34"/>
        <v>-1.284218218172322E-3</v>
      </c>
    </row>
    <row r="430" spans="1:8" x14ac:dyDescent="0.25">
      <c r="A430" s="2">
        <v>43508</v>
      </c>
      <c r="B430" s="1">
        <v>27.98</v>
      </c>
      <c r="C430" s="6">
        <f t="shared" si="31"/>
        <v>-2.2703457911281824E-2</v>
      </c>
      <c r="D430" s="6">
        <f t="shared" si="30"/>
        <v>-2.2965149872688502E-2</v>
      </c>
      <c r="E430" s="14">
        <f t="shared" si="33"/>
        <v>29.50160000000001</v>
      </c>
      <c r="G430" s="11">
        <f t="shared" si="32"/>
        <v>-3.6457077257953975E-3</v>
      </c>
      <c r="H430" s="17">
        <f t="shared" si="34"/>
        <v>-7.7884977145271754E-3</v>
      </c>
    </row>
    <row r="431" spans="1:8" x14ac:dyDescent="0.25">
      <c r="A431" s="2">
        <v>43536</v>
      </c>
      <c r="B431" s="1">
        <v>27.19</v>
      </c>
      <c r="C431" s="6">
        <f t="shared" si="31"/>
        <v>-2.823445318084343E-2</v>
      </c>
      <c r="D431" s="6">
        <f t="shared" si="30"/>
        <v>-2.8640710592955698E-2</v>
      </c>
      <c r="E431" s="14">
        <f t="shared" si="33"/>
        <v>29.343600000000009</v>
      </c>
      <c r="G431" s="11">
        <f t="shared" si="32"/>
        <v>-5.4257563104589054E-3</v>
      </c>
      <c r="H431" s="17">
        <f t="shared" si="34"/>
        <v>-1.4044161578055731E-2</v>
      </c>
    </row>
    <row r="432" spans="1:8" x14ac:dyDescent="0.25">
      <c r="A432" s="2">
        <v>43567</v>
      </c>
      <c r="B432" s="1">
        <v>27.28</v>
      </c>
      <c r="C432" s="6">
        <f t="shared" si="31"/>
        <v>3.3100404560500131E-3</v>
      </c>
      <c r="D432" s="6">
        <f t="shared" si="30"/>
        <v>3.3045743308819766E-3</v>
      </c>
      <c r="E432" s="14">
        <f t="shared" si="33"/>
        <v>29.206400000000009</v>
      </c>
      <c r="G432" s="11">
        <f t="shared" si="32"/>
        <v>-4.7373800590987773E-3</v>
      </c>
      <c r="H432" s="17">
        <f t="shared" si="34"/>
        <v>-8.8395408053744181E-3</v>
      </c>
    </row>
    <row r="433" spans="1:8" x14ac:dyDescent="0.25">
      <c r="A433" s="2">
        <v>43597</v>
      </c>
      <c r="B433" s="1">
        <v>27.14</v>
      </c>
      <c r="C433" s="6">
        <f t="shared" si="31"/>
        <v>-5.1319648093841848E-3</v>
      </c>
      <c r="D433" s="6">
        <f t="shared" si="30"/>
        <v>-5.1451785685382627E-3</v>
      </c>
      <c r="E433" s="14">
        <f t="shared" si="33"/>
        <v>29.088800000000006</v>
      </c>
      <c r="G433" s="11">
        <f t="shared" si="32"/>
        <v>-4.1140737869966287E-3</v>
      </c>
      <c r="H433" s="17">
        <f t="shared" si="34"/>
        <v>-7.7312321343235707E-3</v>
      </c>
    </row>
    <row r="434" spans="1:8" x14ac:dyDescent="0.25">
      <c r="A434" s="2">
        <v>43628</v>
      </c>
      <c r="B434" s="1">
        <v>27.63</v>
      </c>
      <c r="C434" s="6">
        <f t="shared" si="31"/>
        <v>1.8054532056005837E-2</v>
      </c>
      <c r="D434" s="6">
        <f t="shared" si="30"/>
        <v>1.7893484528602125E-2</v>
      </c>
      <c r="E434" s="14">
        <f t="shared" si="33"/>
        <v>29.000000000000004</v>
      </c>
      <c r="G434" s="11">
        <f t="shared" si="32"/>
        <v>-3.0913080361314278E-3</v>
      </c>
      <c r="H434" s="17">
        <f t="shared" si="34"/>
        <v>-4.3817135445861806E-5</v>
      </c>
    </row>
    <row r="435" spans="1:8" x14ac:dyDescent="0.25">
      <c r="A435" s="2">
        <v>43720</v>
      </c>
      <c r="B435" s="1">
        <v>27.39</v>
      </c>
      <c r="C435" s="6">
        <f t="shared" si="31"/>
        <v>-8.6862106406079779E-3</v>
      </c>
      <c r="D435" s="6">
        <f t="shared" si="30"/>
        <v>-8.7241556603382692E-3</v>
      </c>
      <c r="E435" s="14">
        <f t="shared" si="33"/>
        <v>28.881599999999999</v>
      </c>
      <c r="G435" s="11">
        <f t="shared" si="32"/>
        <v>-4.1047413692208061E-3</v>
      </c>
      <c r="H435" s="17">
        <f t="shared" si="34"/>
        <v>-2.6479186929135841E-3</v>
      </c>
    </row>
    <row r="436" spans="1:8" x14ac:dyDescent="0.25">
      <c r="A436" s="2">
        <v>43750</v>
      </c>
      <c r="B436" s="1">
        <v>26.9</v>
      </c>
      <c r="C436" s="6">
        <f t="shared" si="31"/>
        <v>-1.7889740781307117E-2</v>
      </c>
      <c r="D436" s="6">
        <f t="shared" si="30"/>
        <v>-1.8051696667193442E-2</v>
      </c>
      <c r="E436" s="14">
        <f t="shared" si="33"/>
        <v>28.727999999999998</v>
      </c>
      <c r="G436" s="11">
        <f t="shared" si="32"/>
        <v>-5.3375380601062405E-3</v>
      </c>
      <c r="H436" s="17">
        <f t="shared" si="34"/>
        <v>-7.2690520851975407E-3</v>
      </c>
    </row>
    <row r="437" spans="1:8" x14ac:dyDescent="0.25">
      <c r="A437" s="2">
        <v>43781</v>
      </c>
      <c r="B437" s="1">
        <v>26.76</v>
      </c>
      <c r="C437" s="6">
        <f t="shared" si="31"/>
        <v>-5.2044609665426404E-3</v>
      </c>
      <c r="D437" s="6">
        <f t="shared" si="30"/>
        <v>-5.2180513477655599E-3</v>
      </c>
      <c r="E437" s="14">
        <f t="shared" si="33"/>
        <v>28.555599999999995</v>
      </c>
      <c r="G437" s="11">
        <f t="shared" si="32"/>
        <v>-5.9733795257971168E-3</v>
      </c>
      <c r="H437" s="17">
        <f t="shared" si="34"/>
        <v>-6.6537518639679469E-3</v>
      </c>
    </row>
    <row r="438" spans="1:8" x14ac:dyDescent="0.25">
      <c r="A438" s="2">
        <v>43811</v>
      </c>
      <c r="B438" s="1">
        <v>27.62</v>
      </c>
      <c r="C438" s="6">
        <f t="shared" si="31"/>
        <v>3.2137518684603864E-2</v>
      </c>
      <c r="D438" s="6">
        <f t="shared" si="30"/>
        <v>3.1631912721118267E-2</v>
      </c>
      <c r="E438" s="14">
        <f t="shared" si="33"/>
        <v>28.426399999999994</v>
      </c>
      <c r="G438" s="11">
        <f t="shared" si="32"/>
        <v>-4.4238640948100171E-3</v>
      </c>
      <c r="H438" s="17">
        <f t="shared" si="34"/>
        <v>4.8319475115579172E-3</v>
      </c>
    </row>
    <row r="439" spans="1:8" x14ac:dyDescent="0.25">
      <c r="A439" s="1" t="s">
        <v>263</v>
      </c>
      <c r="B439" s="1">
        <v>27.38</v>
      </c>
      <c r="C439" s="6">
        <f t="shared" si="31"/>
        <v>-8.6893555394642278E-3</v>
      </c>
      <c r="D439" s="6">
        <f t="shared" si="30"/>
        <v>-8.7273281208433348E-3</v>
      </c>
      <c r="E439" s="14">
        <f t="shared" si="33"/>
        <v>28.290399999999995</v>
      </c>
      <c r="G439" s="11">
        <f t="shared" si="32"/>
        <v>-4.6820923420172024E-3</v>
      </c>
      <c r="H439" s="17">
        <f t="shared" si="34"/>
        <v>7.641648218375415E-4</v>
      </c>
    </row>
    <row r="440" spans="1:8" x14ac:dyDescent="0.25">
      <c r="A440" s="1" t="s">
        <v>264</v>
      </c>
      <c r="B440" s="1">
        <v>27.82</v>
      </c>
      <c r="C440" s="6">
        <f t="shared" si="31"/>
        <v>1.6070124178232333E-2</v>
      </c>
      <c r="D440" s="6">
        <f t="shared" si="30"/>
        <v>1.5942366634994126E-2</v>
      </c>
      <c r="E440" s="14">
        <f t="shared" si="33"/>
        <v>28.177199999999999</v>
      </c>
      <c r="G440" s="11">
        <f t="shared" si="32"/>
        <v>-3.8750990354769243E-3</v>
      </c>
      <c r="H440" s="17">
        <f t="shared" si="34"/>
        <v>5.3176253657845167E-3</v>
      </c>
    </row>
    <row r="441" spans="1:8" x14ac:dyDescent="0.25">
      <c r="A441" s="1" t="s">
        <v>265</v>
      </c>
      <c r="B441" s="1">
        <v>28.18</v>
      </c>
      <c r="C441" s="6">
        <f t="shared" si="31"/>
        <v>1.2940330697340022E-2</v>
      </c>
      <c r="D441" s="6">
        <f t="shared" si="30"/>
        <v>1.2857319975237393E-2</v>
      </c>
      <c r="E441" s="14">
        <f t="shared" si="33"/>
        <v>28.085199999999997</v>
      </c>
      <c r="G441" s="11">
        <f t="shared" si="32"/>
        <v>-3.1383289739164333E-3</v>
      </c>
      <c r="H441" s="17">
        <f t="shared" si="34"/>
        <v>7.5795337486203786E-3</v>
      </c>
    </row>
    <row r="442" spans="1:8" x14ac:dyDescent="0.25">
      <c r="A442" s="1" t="s">
        <v>266</v>
      </c>
      <c r="B442" s="1">
        <v>27.9</v>
      </c>
      <c r="C442" s="6">
        <f t="shared" si="31"/>
        <v>-9.9361249112846391E-3</v>
      </c>
      <c r="D442" s="6">
        <f t="shared" si="30"/>
        <v>-9.9858176432142086E-3</v>
      </c>
      <c r="E442" s="14">
        <f t="shared" si="33"/>
        <v>28.024799999999995</v>
      </c>
      <c r="G442" s="11">
        <f t="shared" si="32"/>
        <v>-2.1083225495433255E-3</v>
      </c>
      <c r="H442" s="17">
        <f t="shared" si="34"/>
        <v>2.3099283310700023E-3</v>
      </c>
    </row>
    <row r="443" spans="1:8" x14ac:dyDescent="0.25">
      <c r="A443" s="1" t="s">
        <v>267</v>
      </c>
      <c r="B443" s="1">
        <v>28.44</v>
      </c>
      <c r="C443" s="6">
        <f t="shared" si="31"/>
        <v>1.9354838709677517E-2</v>
      </c>
      <c r="D443" s="6">
        <f t="shared" si="30"/>
        <v>1.9169916107720342E-2</v>
      </c>
      <c r="E443" s="14">
        <f t="shared" si="33"/>
        <v>28.020399999999995</v>
      </c>
      <c r="G443" s="11">
        <f t="shared" si="32"/>
        <v>-1.5441324667913369E-4</v>
      </c>
      <c r="H443" s="17">
        <f t="shared" si="34"/>
        <v>7.3679246640651038E-3</v>
      </c>
    </row>
    <row r="444" spans="1:8" x14ac:dyDescent="0.25">
      <c r="A444" s="1" t="s">
        <v>268</v>
      </c>
      <c r="B444" s="1">
        <v>28.93</v>
      </c>
      <c r="C444" s="6">
        <f t="shared" si="31"/>
        <v>1.7229254571026666E-2</v>
      </c>
      <c r="D444" s="6">
        <f t="shared" si="30"/>
        <v>1.7082514053003518E-2</v>
      </c>
      <c r="E444" s="14">
        <f t="shared" si="33"/>
        <v>28.031199999999995</v>
      </c>
      <c r="G444" s="11">
        <f t="shared" si="32"/>
        <v>3.7506786352074187E-4</v>
      </c>
      <c r="H444" s="17">
        <f t="shared" si="34"/>
        <v>1.0282301480746627E-2</v>
      </c>
    </row>
    <row r="445" spans="1:8" x14ac:dyDescent="0.25">
      <c r="A445" s="1" t="s">
        <v>269</v>
      </c>
      <c r="B445" s="1">
        <v>29.19</v>
      </c>
      <c r="C445" s="6">
        <f t="shared" si="31"/>
        <v>8.9872105081231102E-3</v>
      </c>
      <c r="D445" s="6">
        <f t="shared" si="30"/>
        <v>8.9470658779796149E-3</v>
      </c>
      <c r="E445" s="14">
        <f t="shared" si="33"/>
        <v>28.0488</v>
      </c>
      <c r="G445" s="11">
        <f t="shared" si="32"/>
        <v>6.075367049065782E-4</v>
      </c>
      <c r="H445" s="17">
        <f t="shared" si="34"/>
        <v>9.8817307999165237E-3</v>
      </c>
    </row>
    <row r="446" spans="1:8" x14ac:dyDescent="0.25">
      <c r="A446" s="1" t="s">
        <v>270</v>
      </c>
      <c r="B446" s="1">
        <v>29.07</v>
      </c>
      <c r="C446" s="6">
        <f t="shared" si="31"/>
        <v>-4.1109969167523464E-3</v>
      </c>
      <c r="D446" s="6">
        <f t="shared" si="30"/>
        <v>-4.1194702952388369E-3</v>
      </c>
      <c r="E446" s="14">
        <f t="shared" si="33"/>
        <v>28.072000000000003</v>
      </c>
      <c r="G446" s="11">
        <f t="shared" si="32"/>
        <v>8.0614264243872682E-4</v>
      </c>
      <c r="H446" s="17">
        <f t="shared" si="34"/>
        <v>5.6813704713699151E-3</v>
      </c>
    </row>
    <row r="447" spans="1:8" x14ac:dyDescent="0.25">
      <c r="A447" s="1" t="s">
        <v>271</v>
      </c>
      <c r="B447" s="1">
        <v>29.56</v>
      </c>
      <c r="C447" s="6">
        <f t="shared" si="31"/>
        <v>1.6855865153078721E-2</v>
      </c>
      <c r="D447" s="6">
        <f t="shared" si="30"/>
        <v>1.6715381509216493E-2</v>
      </c>
      <c r="E447" s="14">
        <f t="shared" si="33"/>
        <v>28.087199999999999</v>
      </c>
      <c r="G447" s="11">
        <f t="shared" si="32"/>
        <v>5.1754211941447577E-4</v>
      </c>
      <c r="H447" s="17">
        <f t="shared" si="34"/>
        <v>8.9915737827238884E-3</v>
      </c>
    </row>
    <row r="448" spans="1:8" x14ac:dyDescent="0.25">
      <c r="A448" s="1" t="s">
        <v>272</v>
      </c>
      <c r="B448" s="1">
        <v>28.34</v>
      </c>
      <c r="C448" s="6">
        <f t="shared" si="31"/>
        <v>-4.1271989174560181E-2</v>
      </c>
      <c r="D448" s="6">
        <f t="shared" si="30"/>
        <v>-4.2147861817466638E-2</v>
      </c>
      <c r="E448" s="14">
        <f t="shared" si="33"/>
        <v>28.095600000000001</v>
      </c>
      <c r="G448" s="11">
        <f t="shared" si="32"/>
        <v>2.9750447043077417E-4</v>
      </c>
      <c r="H448" s="17">
        <f t="shared" si="34"/>
        <v>-6.3502568973332705E-3</v>
      </c>
    </row>
    <row r="449" spans="1:8" x14ac:dyDescent="0.25">
      <c r="A449" s="1" t="s">
        <v>273</v>
      </c>
      <c r="B449" s="1">
        <v>28.2</v>
      </c>
      <c r="C449" s="6">
        <f t="shared" si="31"/>
        <v>-4.9400141143260612E-3</v>
      </c>
      <c r="D449" s="6">
        <f t="shared" si="30"/>
        <v>-4.9522563184665304E-3</v>
      </c>
      <c r="E449" s="14">
        <f t="shared" si="33"/>
        <v>28.110399999999998</v>
      </c>
      <c r="G449" s="11">
        <f t="shared" si="32"/>
        <v>5.2829609625075534E-4</v>
      </c>
      <c r="H449" s="17">
        <f t="shared" si="34"/>
        <v>-5.930856723673248E-3</v>
      </c>
    </row>
    <row r="450" spans="1:8" x14ac:dyDescent="0.25">
      <c r="A450" s="1" t="s">
        <v>274</v>
      </c>
      <c r="B450" s="1">
        <v>28.57</v>
      </c>
      <c r="C450" s="6">
        <f t="shared" si="31"/>
        <v>1.3120567375886561E-2</v>
      </c>
      <c r="D450" s="6">
        <f t="shared" si="30"/>
        <v>1.3035238298613791E-2</v>
      </c>
      <c r="E450" s="14">
        <f t="shared" si="33"/>
        <v>28.110400000000006</v>
      </c>
      <c r="G450" s="11">
        <f t="shared" si="32"/>
        <v>1.5404344466674048E-17</v>
      </c>
      <c r="H450" s="17">
        <f t="shared" si="34"/>
        <v>-2.4102821698713649E-4</v>
      </c>
    </row>
    <row r="451" spans="1:8" x14ac:dyDescent="0.25">
      <c r="A451" s="2">
        <v>43862</v>
      </c>
      <c r="B451" s="1">
        <v>28.98</v>
      </c>
      <c r="C451" s="6">
        <f t="shared" si="31"/>
        <v>1.4350717535876798E-2</v>
      </c>
      <c r="D451" s="6">
        <f t="shared" si="30"/>
        <v>1.4248720649854623E-2</v>
      </c>
      <c r="E451" s="14">
        <f t="shared" si="33"/>
        <v>28.114400000000003</v>
      </c>
      <c r="G451" s="11">
        <f t="shared" si="32"/>
        <v>1.382649147164488E-4</v>
      </c>
      <c r="H451" s="17">
        <f t="shared" si="34"/>
        <v>4.1058964430653912E-3</v>
      </c>
    </row>
    <row r="452" spans="1:8" x14ac:dyDescent="0.25">
      <c r="A452" s="2">
        <v>43891</v>
      </c>
      <c r="B452" s="1">
        <v>27.55</v>
      </c>
      <c r="C452" s="6">
        <f t="shared" si="31"/>
        <v>-4.9344375431331945E-2</v>
      </c>
      <c r="D452" s="6">
        <f t="shared" si="30"/>
        <v>-5.0603401293612842E-2</v>
      </c>
      <c r="E452" s="14">
        <f t="shared" si="33"/>
        <v>28.058800000000002</v>
      </c>
      <c r="G452" s="11">
        <f t="shared" si="32"/>
        <v>-1.9688874241765588E-3</v>
      </c>
      <c r="H452" s="17">
        <f t="shared" si="34"/>
        <v>-1.2306892877938078E-2</v>
      </c>
    </row>
    <row r="453" spans="1:8" x14ac:dyDescent="0.25">
      <c r="A453" s="2">
        <v>43983</v>
      </c>
      <c r="B453" s="1">
        <v>27.22</v>
      </c>
      <c r="C453" s="6">
        <f t="shared" si="31"/>
        <v>-1.1978221415608052E-2</v>
      </c>
      <c r="D453" s="6">
        <f t="shared" ref="D453:D516" si="35">LN(B453/B452)</f>
        <v>-1.2050538375603499E-2</v>
      </c>
      <c r="E453" s="14">
        <f t="shared" si="33"/>
        <v>27.994</v>
      </c>
      <c r="G453" s="11">
        <f t="shared" si="32"/>
        <v>-2.3124526077371193E-3</v>
      </c>
      <c r="H453" s="17">
        <f t="shared" si="34"/>
        <v>-1.2229986527237703E-2</v>
      </c>
    </row>
    <row r="454" spans="1:8" x14ac:dyDescent="0.25">
      <c r="A454" s="2">
        <v>44013</v>
      </c>
      <c r="B454" s="1">
        <v>27.12</v>
      </c>
      <c r="C454" s="6">
        <f t="shared" ref="C454:C517" si="36">(B454-B453)/B453</f>
        <v>-3.6737692872886802E-3</v>
      </c>
      <c r="D454" s="6">
        <f t="shared" si="35"/>
        <v>-3.6805341511251207E-3</v>
      </c>
      <c r="E454" s="14">
        <f t="shared" si="33"/>
        <v>27.933600000000006</v>
      </c>
      <c r="G454" s="11">
        <f t="shared" si="32"/>
        <v>-2.1673462415131386E-3</v>
      </c>
      <c r="H454" s="17">
        <f t="shared" si="34"/>
        <v>-9.6651508144039288E-3</v>
      </c>
    </row>
    <row r="455" spans="1:8" x14ac:dyDescent="0.25">
      <c r="A455" s="2">
        <v>44044</v>
      </c>
      <c r="B455" s="1">
        <v>27.74</v>
      </c>
      <c r="C455" s="6">
        <f t="shared" si="36"/>
        <v>2.2861356932153298E-2</v>
      </c>
      <c r="D455" s="6">
        <f t="shared" si="35"/>
        <v>2.260395181449051E-2</v>
      </c>
      <c r="E455" s="14">
        <f t="shared" si="33"/>
        <v>27.923999999999999</v>
      </c>
      <c r="G455" s="11">
        <f t="shared" si="32"/>
        <v>-3.4458217402597859E-4</v>
      </c>
      <c r="H455" s="17">
        <f t="shared" si="34"/>
        <v>1.55799742644026E-5</v>
      </c>
    </row>
    <row r="456" spans="1:8" x14ac:dyDescent="0.25">
      <c r="A456" s="2">
        <v>44075</v>
      </c>
      <c r="B456" s="1">
        <v>27.85</v>
      </c>
      <c r="C456" s="6">
        <f t="shared" si="36"/>
        <v>3.9653929343908796E-3</v>
      </c>
      <c r="D456" s="6">
        <f t="shared" si="35"/>
        <v>3.9575514866075252E-3</v>
      </c>
      <c r="E456" s="14">
        <f t="shared" si="33"/>
        <v>27.950399999999998</v>
      </c>
      <c r="G456" s="11">
        <f t="shared" si="32"/>
        <v>9.5934830915655035E-4</v>
      </c>
      <c r="H456" s="17">
        <f t="shared" si="34"/>
        <v>1.1981714279673393E-3</v>
      </c>
    </row>
    <row r="457" spans="1:8" x14ac:dyDescent="0.25">
      <c r="A457" s="2">
        <v>44105</v>
      </c>
      <c r="B457" s="1">
        <v>27.22</v>
      </c>
      <c r="C457" s="6">
        <f t="shared" si="36"/>
        <v>-2.2621184919210145E-2</v>
      </c>
      <c r="D457" s="6">
        <f t="shared" si="35"/>
        <v>-2.2880969149973132E-2</v>
      </c>
      <c r="E457" s="14">
        <f t="shared" si="33"/>
        <v>27.947999999999997</v>
      </c>
      <c r="G457" s="11">
        <f t="shared" si="32"/>
        <v>-8.807343007765381E-5</v>
      </c>
      <c r="H457" s="17">
        <f t="shared" si="34"/>
        <v>-6.025570745414802E-3</v>
      </c>
    </row>
    <row r="458" spans="1:8" x14ac:dyDescent="0.25">
      <c r="A458" s="1" t="s">
        <v>275</v>
      </c>
      <c r="B458" s="1">
        <v>27.29</v>
      </c>
      <c r="C458" s="6">
        <f t="shared" si="36"/>
        <v>2.5716385011021413E-3</v>
      </c>
      <c r="D458" s="6">
        <f t="shared" si="35"/>
        <v>2.5683374969270511E-3</v>
      </c>
      <c r="E458" s="14">
        <f t="shared" si="33"/>
        <v>27.954000000000001</v>
      </c>
      <c r="G458" s="11">
        <f t="shared" si="32"/>
        <v>2.2046721254095829E-4</v>
      </c>
      <c r="H458" s="17">
        <f t="shared" si="34"/>
        <v>-3.4473982727122455E-3</v>
      </c>
    </row>
    <row r="459" spans="1:8" x14ac:dyDescent="0.25">
      <c r="A459" s="1" t="s">
        <v>276</v>
      </c>
      <c r="B459" s="1">
        <v>27.43</v>
      </c>
      <c r="C459" s="6">
        <f t="shared" si="36"/>
        <v>5.1300842799560488E-3</v>
      </c>
      <c r="D459" s="6">
        <f t="shared" si="35"/>
        <v>5.1169702292647151E-3</v>
      </c>
      <c r="E459" s="14">
        <f t="shared" si="33"/>
        <v>27.945999999999998</v>
      </c>
      <c r="G459" s="11">
        <f t="shared" si="32"/>
        <v>-2.9059335943253795E-4</v>
      </c>
      <c r="H459" s="17">
        <f t="shared" si="34"/>
        <v>-8.7808772211915727E-4</v>
      </c>
    </row>
    <row r="460" spans="1:8" x14ac:dyDescent="0.25">
      <c r="A460" s="1" t="s">
        <v>277</v>
      </c>
      <c r="B460" s="1">
        <v>27.48</v>
      </c>
      <c r="C460" s="6">
        <f t="shared" si="36"/>
        <v>1.8228217280350241E-3</v>
      </c>
      <c r="D460" s="6">
        <f t="shared" si="35"/>
        <v>1.8211624046366689E-3</v>
      </c>
      <c r="E460" s="14">
        <f t="shared" si="33"/>
        <v>27.9496</v>
      </c>
      <c r="G460" s="11">
        <f t="shared" si="32"/>
        <v>1.3121936316646019E-4</v>
      </c>
      <c r="H460" s="17">
        <f t="shared" si="34"/>
        <v>-6.8312684092409408E-5</v>
      </c>
    </row>
    <row r="461" spans="1:8" x14ac:dyDescent="0.25">
      <c r="A461" s="1" t="s">
        <v>278</v>
      </c>
      <c r="B461" s="1">
        <v>28.13</v>
      </c>
      <c r="C461" s="6">
        <f t="shared" si="36"/>
        <v>2.3653566229985393E-2</v>
      </c>
      <c r="D461" s="6">
        <f t="shared" si="35"/>
        <v>2.3378155147616937E-2</v>
      </c>
      <c r="E461" s="14">
        <f t="shared" si="33"/>
        <v>27.998800000000003</v>
      </c>
      <c r="G461" s="11">
        <f t="shared" si="32"/>
        <v>1.7884134357588749E-3</v>
      </c>
      <c r="H461" s="17">
        <f t="shared" si="34"/>
        <v>6.9656276654203944E-3</v>
      </c>
    </row>
    <row r="462" spans="1:8" x14ac:dyDescent="0.25">
      <c r="A462" s="1" t="s">
        <v>279</v>
      </c>
      <c r="B462" s="1">
        <v>28.3</v>
      </c>
      <c r="C462" s="6">
        <f t="shared" si="36"/>
        <v>6.0433700675436089E-3</v>
      </c>
      <c r="D462" s="6">
        <f t="shared" si="35"/>
        <v>6.02518214742643E-3</v>
      </c>
      <c r="E462" s="14">
        <f t="shared" si="33"/>
        <v>28.060399999999994</v>
      </c>
      <c r="G462" s="11">
        <f t="shared" si="32"/>
        <v>2.2381427755665548E-3</v>
      </c>
      <c r="H462" s="17">
        <f t="shared" si="34"/>
        <v>6.6834940100222052E-3</v>
      </c>
    </row>
    <row r="463" spans="1:8" x14ac:dyDescent="0.25">
      <c r="A463" s="1" t="s">
        <v>280</v>
      </c>
      <c r="B463" s="1">
        <v>27.1</v>
      </c>
      <c r="C463" s="6">
        <f t="shared" si="36"/>
        <v>-4.240282685512365E-2</v>
      </c>
      <c r="D463" s="6">
        <f t="shared" si="35"/>
        <v>-4.3328076763536692E-2</v>
      </c>
      <c r="E463" s="14">
        <f t="shared" si="33"/>
        <v>28.039599999999997</v>
      </c>
      <c r="G463" s="11">
        <f t="shared" si="32"/>
        <v>-7.6025680381964394E-4</v>
      </c>
      <c r="H463" s="17">
        <f t="shared" si="34"/>
        <v>-8.3199772220454646E-3</v>
      </c>
    </row>
    <row r="464" spans="1:8" x14ac:dyDescent="0.25">
      <c r="A464" s="1" t="s">
        <v>281</v>
      </c>
      <c r="B464" s="1">
        <v>27.22</v>
      </c>
      <c r="C464" s="6">
        <f t="shared" si="36"/>
        <v>4.4280442804427098E-3</v>
      </c>
      <c r="D464" s="6">
        <f t="shared" si="35"/>
        <v>4.4182693376647372E-3</v>
      </c>
      <c r="E464" s="14">
        <f t="shared" si="33"/>
        <v>28.033200000000001</v>
      </c>
      <c r="G464" s="11">
        <f t="shared" si="32"/>
        <v>-2.3443290547932072E-4</v>
      </c>
      <c r="H464" s="17">
        <f t="shared" si="34"/>
        <v>-4.4985032541324035E-3</v>
      </c>
    </row>
    <row r="465" spans="1:8" x14ac:dyDescent="0.25">
      <c r="A465" s="1" t="s">
        <v>282</v>
      </c>
      <c r="B465" s="1">
        <v>28.69</v>
      </c>
      <c r="C465" s="6">
        <f t="shared" si="36"/>
        <v>5.4004408523144837E-2</v>
      </c>
      <c r="D465" s="6">
        <f t="shared" si="35"/>
        <v>5.2596632769953466E-2</v>
      </c>
      <c r="E465" s="14">
        <f t="shared" si="33"/>
        <v>28.068000000000005</v>
      </c>
      <c r="G465" s="11">
        <f t="shared" si="32"/>
        <v>1.231737739919053E-3</v>
      </c>
      <c r="H465" s="17">
        <f t="shared" si="34"/>
        <v>1.2630037553093358E-2</v>
      </c>
    </row>
    <row r="466" spans="1:8" x14ac:dyDescent="0.25">
      <c r="A466" s="1" t="s">
        <v>283</v>
      </c>
      <c r="B466" s="1">
        <v>27.54</v>
      </c>
      <c r="C466" s="6">
        <f t="shared" si="36"/>
        <v>-4.0083652840711123E-2</v>
      </c>
      <c r="D466" s="6">
        <f t="shared" si="35"/>
        <v>-4.0909136692764726E-2</v>
      </c>
      <c r="E466" s="14">
        <f t="shared" si="33"/>
        <v>28.042400000000008</v>
      </c>
      <c r="G466" s="11">
        <f t="shared" si="32"/>
        <v>-9.1892052680103166E-4</v>
      </c>
      <c r="H466" s="17">
        <f t="shared" si="34"/>
        <v>-3.4317147206640673E-3</v>
      </c>
    </row>
    <row r="467" spans="1:8" x14ac:dyDescent="0.25">
      <c r="A467" s="1" t="s">
        <v>284</v>
      </c>
      <c r="B467" s="1">
        <v>26.01</v>
      </c>
      <c r="C467" s="6">
        <f t="shared" si="36"/>
        <v>-5.5555555555555469E-2</v>
      </c>
      <c r="D467" s="6">
        <f t="shared" si="35"/>
        <v>-5.7158413839948519E-2</v>
      </c>
      <c r="E467" s="14">
        <f t="shared" si="33"/>
        <v>27.966800000000003</v>
      </c>
      <c r="G467" s="11">
        <f t="shared" si="32"/>
        <v>-2.8058243746704047E-3</v>
      </c>
      <c r="H467" s="17">
        <f t="shared" si="34"/>
        <v>-1.95497244564494E-2</v>
      </c>
    </row>
    <row r="468" spans="1:8" x14ac:dyDescent="0.25">
      <c r="A468" s="1" t="s">
        <v>285</v>
      </c>
      <c r="B468" s="1">
        <v>26.8</v>
      </c>
      <c r="C468" s="6">
        <f t="shared" si="36"/>
        <v>3.0372933487120304E-2</v>
      </c>
      <c r="D468" s="6">
        <f t="shared" si="35"/>
        <v>2.9920808056250817E-2</v>
      </c>
      <c r="E468" s="14">
        <f t="shared" si="33"/>
        <v>27.901200000000003</v>
      </c>
      <c r="G468" s="11">
        <f t="shared" si="32"/>
        <v>-2.3757886967291854E-3</v>
      </c>
      <c r="H468" s="17">
        <f t="shared" si="34"/>
        <v>-4.708564702639334E-3</v>
      </c>
    </row>
    <row r="469" spans="1:8" x14ac:dyDescent="0.25">
      <c r="A469" s="1" t="s">
        <v>286</v>
      </c>
      <c r="B469" s="1">
        <v>26.7</v>
      </c>
      <c r="C469" s="6">
        <f t="shared" si="36"/>
        <v>-3.7313432835821424E-3</v>
      </c>
      <c r="D469" s="6">
        <f t="shared" si="35"/>
        <v>-3.7383221106072153E-3</v>
      </c>
      <c r="E469" s="14">
        <f t="shared" si="33"/>
        <v>27.812000000000001</v>
      </c>
      <c r="G469" s="11">
        <f t="shared" si="32"/>
        <v>-3.2086221432736151E-3</v>
      </c>
      <c r="H469" s="17">
        <f t="shared" si="34"/>
        <v>-4.4174919250296978E-3</v>
      </c>
    </row>
    <row r="470" spans="1:8" x14ac:dyDescent="0.25">
      <c r="A470" s="1" t="s">
        <v>287</v>
      </c>
      <c r="B470" s="1">
        <v>27.62</v>
      </c>
      <c r="C470" s="6">
        <f t="shared" si="36"/>
        <v>3.4456928838951378E-2</v>
      </c>
      <c r="D470" s="6">
        <f t="shared" si="35"/>
        <v>3.3876582574942256E-2</v>
      </c>
      <c r="E470" s="14">
        <f t="shared" si="33"/>
        <v>27.749200000000005</v>
      </c>
      <c r="G470" s="11">
        <f t="shared" si="32"/>
        <v>-2.2114414753951102E-3</v>
      </c>
      <c r="H470" s="17">
        <f t="shared" si="34"/>
        <v>7.0707304249618885E-3</v>
      </c>
    </row>
    <row r="471" spans="1:8" x14ac:dyDescent="0.25">
      <c r="A471" s="1" t="s">
        <v>288</v>
      </c>
      <c r="B471" s="1">
        <v>26.74</v>
      </c>
      <c r="C471" s="6">
        <f t="shared" si="36"/>
        <v>-3.1860970311368662E-2</v>
      </c>
      <c r="D471" s="6">
        <f t="shared" si="35"/>
        <v>-3.237957630734907E-2</v>
      </c>
      <c r="E471" s="14">
        <f t="shared" si="33"/>
        <v>27.656000000000002</v>
      </c>
      <c r="G471" s="11">
        <f t="shared" si="32"/>
        <v>-3.3418457158795188E-3</v>
      </c>
      <c r="H471" s="17">
        <f t="shared" si="34"/>
        <v>-4.7643615947313986E-3</v>
      </c>
    </row>
    <row r="472" spans="1:8" x14ac:dyDescent="0.25">
      <c r="A472" s="2">
        <v>43892</v>
      </c>
      <c r="B472" s="1">
        <v>27.06</v>
      </c>
      <c r="C472" s="6">
        <f t="shared" si="36"/>
        <v>1.1967090501121927E-2</v>
      </c>
      <c r="D472" s="6">
        <f t="shared" si="35"/>
        <v>1.1896051068844936E-2</v>
      </c>
      <c r="E472" s="14">
        <f t="shared" si="33"/>
        <v>27.556000000000004</v>
      </c>
      <c r="G472" s="11">
        <f t="shared" si="32"/>
        <v>-3.5346189334943823E-3</v>
      </c>
      <c r="H472" s="17">
        <f t="shared" si="34"/>
        <v>2.3376220434150182E-4</v>
      </c>
    </row>
    <row r="473" spans="1:8" x14ac:dyDescent="0.25">
      <c r="A473" s="2">
        <v>43923</v>
      </c>
      <c r="B473" s="1">
        <v>28.43</v>
      </c>
      <c r="C473" s="6">
        <f t="shared" si="36"/>
        <v>5.0628233555062865E-2</v>
      </c>
      <c r="D473" s="6">
        <f t="shared" si="35"/>
        <v>4.9388302920266566E-2</v>
      </c>
      <c r="E473" s="14">
        <f t="shared" si="33"/>
        <v>27.5596</v>
      </c>
      <c r="G473" s="11">
        <f t="shared" si="32"/>
        <v>1.2682765601494783E-4</v>
      </c>
      <c r="H473" s="17">
        <f t="shared" si="34"/>
        <v>1.498012441911902E-2</v>
      </c>
    </row>
    <row r="474" spans="1:8" x14ac:dyDescent="0.25">
      <c r="A474" s="2">
        <v>43953</v>
      </c>
      <c r="B474" s="1">
        <v>29.1</v>
      </c>
      <c r="C474" s="6">
        <f t="shared" si="36"/>
        <v>2.3566654941962775E-2</v>
      </c>
      <c r="D474" s="6">
        <f t="shared" si="35"/>
        <v>2.3293248514538557E-2</v>
      </c>
      <c r="E474" s="14">
        <f t="shared" si="33"/>
        <v>27.595600000000001</v>
      </c>
      <c r="G474" s="11">
        <f t="shared" si="32"/>
        <v>1.2566478493351513E-3</v>
      </c>
      <c r="H474" s="17">
        <f t="shared" si="34"/>
        <v>1.7474061647744881E-2</v>
      </c>
    </row>
    <row r="475" spans="1:8" x14ac:dyDescent="0.25">
      <c r="A475" s="2">
        <v>43984</v>
      </c>
      <c r="B475" s="1">
        <v>28.3</v>
      </c>
      <c r="C475" s="6">
        <f t="shared" si="36"/>
        <v>-2.7491408934707928E-2</v>
      </c>
      <c r="D475" s="6">
        <f t="shared" si="35"/>
        <v>-2.7876369528254903E-2</v>
      </c>
      <c r="E475" s="14">
        <f t="shared" si="33"/>
        <v>27.584799999999994</v>
      </c>
      <c r="G475" s="11">
        <f t="shared" si="32"/>
        <v>-3.798164637395969E-4</v>
      </c>
      <c r="H475" s="17">
        <f t="shared" si="34"/>
        <v>3.8689322949449455E-3</v>
      </c>
    </row>
    <row r="476" spans="1:8" x14ac:dyDescent="0.25">
      <c r="A476" s="2">
        <v>44014</v>
      </c>
      <c r="B476" s="1">
        <v>28.38</v>
      </c>
      <c r="C476" s="6">
        <f t="shared" si="36"/>
        <v>2.8268551236748513E-3</v>
      </c>
      <c r="D476" s="6">
        <f t="shared" si="35"/>
        <v>2.8228670827045027E-3</v>
      </c>
      <c r="E476" s="14">
        <f t="shared" si="33"/>
        <v>27.560799999999993</v>
      </c>
      <c r="G476" s="11">
        <f t="shared" ref="G476:G539" si="37">SUM(D452:D476)/25</f>
        <v>-8.3685060642560221E-4</v>
      </c>
      <c r="H476" s="17">
        <f t="shared" si="34"/>
        <v>3.5551127312728123E-3</v>
      </c>
    </row>
    <row r="477" spans="1:8" x14ac:dyDescent="0.25">
      <c r="A477" s="2">
        <v>44106</v>
      </c>
      <c r="B477" s="1">
        <v>28.79</v>
      </c>
      <c r="C477" s="6">
        <f t="shared" si="36"/>
        <v>1.4446793516560964E-2</v>
      </c>
      <c r="D477" s="6">
        <f t="shared" si="35"/>
        <v>1.4343432892187809E-2</v>
      </c>
      <c r="E477" s="14">
        <f t="shared" ref="E477:E540" si="38">SUM(B453:B477)/25</f>
        <v>27.610399999999995</v>
      </c>
      <c r="G477" s="11">
        <f t="shared" si="37"/>
        <v>1.7610227610064244E-3</v>
      </c>
      <c r="H477" s="17">
        <f t="shared" ref="H477:H540" si="39">D477*$N$19+(1-$N$19)*H476</f>
        <v>6.7916087795473114E-3</v>
      </c>
    </row>
    <row r="478" spans="1:8" x14ac:dyDescent="0.25">
      <c r="A478" s="2">
        <v>44137</v>
      </c>
      <c r="B478" s="1">
        <v>29.84</v>
      </c>
      <c r="C478" s="6">
        <f t="shared" si="36"/>
        <v>3.6470996873914578E-2</v>
      </c>
      <c r="D478" s="6">
        <f t="shared" si="35"/>
        <v>3.5821670711475573E-2</v>
      </c>
      <c r="E478" s="14">
        <f t="shared" si="38"/>
        <v>27.715199999999996</v>
      </c>
      <c r="G478" s="11">
        <f t="shared" si="37"/>
        <v>3.6759111244895871E-3</v>
      </c>
      <c r="H478" s="17">
        <f t="shared" si="39"/>
        <v>1.5500627359125789E-2</v>
      </c>
    </row>
    <row r="479" spans="1:8" x14ac:dyDescent="0.25">
      <c r="A479" s="2">
        <v>44167</v>
      </c>
      <c r="B479" s="1">
        <v>30.47</v>
      </c>
      <c r="C479" s="6">
        <f t="shared" si="36"/>
        <v>2.1112600536192995E-2</v>
      </c>
      <c r="D479" s="6">
        <f t="shared" si="35"/>
        <v>2.0892817662057563E-2</v>
      </c>
      <c r="E479" s="14">
        <f t="shared" si="38"/>
        <v>27.8492</v>
      </c>
      <c r="G479" s="11">
        <f t="shared" si="37"/>
        <v>4.6588451970168941E-3</v>
      </c>
      <c r="H479" s="17">
        <f t="shared" si="39"/>
        <v>1.7118284450005319E-2</v>
      </c>
    </row>
    <row r="480" spans="1:8" x14ac:dyDescent="0.25">
      <c r="A480" s="1" t="s">
        <v>289</v>
      </c>
      <c r="B480" s="1">
        <v>30.09</v>
      </c>
      <c r="C480" s="6">
        <f t="shared" si="36"/>
        <v>-1.247128322940594E-2</v>
      </c>
      <c r="D480" s="6">
        <f t="shared" si="35"/>
        <v>-1.2549702355663786E-2</v>
      </c>
      <c r="E480" s="14">
        <f t="shared" si="38"/>
        <v>27.943200000000001</v>
      </c>
      <c r="G480" s="11">
        <f t="shared" si="37"/>
        <v>3.2526990302107223E-3</v>
      </c>
      <c r="H480" s="17">
        <f t="shared" si="39"/>
        <v>8.2178884083045876E-3</v>
      </c>
    </row>
    <row r="481" spans="1:8" x14ac:dyDescent="0.25">
      <c r="A481" s="1" t="s">
        <v>290</v>
      </c>
      <c r="B481" s="1">
        <v>29.2</v>
      </c>
      <c r="C481" s="6">
        <f t="shared" si="36"/>
        <v>-2.9577932868062498E-2</v>
      </c>
      <c r="D481" s="6">
        <f t="shared" si="35"/>
        <v>-3.0024181367717853E-2</v>
      </c>
      <c r="E481" s="14">
        <f t="shared" si="38"/>
        <v>27.997200000000007</v>
      </c>
      <c r="G481" s="11">
        <f t="shared" si="37"/>
        <v>1.8934297160377077E-3</v>
      </c>
      <c r="H481" s="17">
        <f t="shared" si="39"/>
        <v>-3.2547325245021446E-3</v>
      </c>
    </row>
    <row r="482" spans="1:8" x14ac:dyDescent="0.25">
      <c r="A482" s="1" t="s">
        <v>291</v>
      </c>
      <c r="B482" s="1">
        <v>28.63</v>
      </c>
      <c r="C482" s="6">
        <f t="shared" si="36"/>
        <v>-1.9520547945205489E-2</v>
      </c>
      <c r="D482" s="6">
        <f t="shared" si="35"/>
        <v>-1.9713590164212428E-2</v>
      </c>
      <c r="E482" s="14">
        <f t="shared" si="38"/>
        <v>28.053600000000007</v>
      </c>
      <c r="G482" s="11">
        <f t="shared" si="37"/>
        <v>2.0201248754681354E-3</v>
      </c>
      <c r="H482" s="17">
        <f t="shared" si="39"/>
        <v>-8.1923898164152284E-3</v>
      </c>
    </row>
    <row r="483" spans="1:8" x14ac:dyDescent="0.25">
      <c r="A483" s="1" t="s">
        <v>292</v>
      </c>
      <c r="B483" s="1">
        <v>28.33</v>
      </c>
      <c r="C483" s="6">
        <f t="shared" si="36"/>
        <v>-1.0478519035976274E-2</v>
      </c>
      <c r="D483" s="6">
        <f t="shared" si="35"/>
        <v>-1.0533805267598548E-2</v>
      </c>
      <c r="E483" s="14">
        <f t="shared" si="38"/>
        <v>28.095200000000009</v>
      </c>
      <c r="G483" s="11">
        <f t="shared" si="37"/>
        <v>1.4960391648871113E-3</v>
      </c>
      <c r="H483" s="17">
        <f t="shared" si="39"/>
        <v>-8.8948144517702245E-3</v>
      </c>
    </row>
    <row r="484" spans="1:8" x14ac:dyDescent="0.25">
      <c r="A484" s="1" t="s">
        <v>293</v>
      </c>
      <c r="B484" s="1">
        <v>28.51</v>
      </c>
      <c r="C484" s="6">
        <f t="shared" si="36"/>
        <v>6.3536886692553219E-3</v>
      </c>
      <c r="D484" s="6">
        <f t="shared" si="35"/>
        <v>6.3335890821554653E-3</v>
      </c>
      <c r="E484" s="14">
        <f t="shared" si="38"/>
        <v>28.138400000000004</v>
      </c>
      <c r="G484" s="11">
        <f t="shared" si="37"/>
        <v>1.5447039190027412E-3</v>
      </c>
      <c r="H484" s="17">
        <f t="shared" si="39"/>
        <v>-4.3262933915925172E-3</v>
      </c>
    </row>
    <row r="485" spans="1:8" x14ac:dyDescent="0.25">
      <c r="A485" s="1" t="s">
        <v>294</v>
      </c>
      <c r="B485" s="1">
        <v>27.82</v>
      </c>
      <c r="C485" s="6">
        <f t="shared" si="36"/>
        <v>-2.4202034373903936E-2</v>
      </c>
      <c r="D485" s="6">
        <f t="shared" si="35"/>
        <v>-2.4499716429283773E-2</v>
      </c>
      <c r="E485" s="14">
        <f t="shared" si="38"/>
        <v>28.152000000000008</v>
      </c>
      <c r="G485" s="11">
        <f t="shared" si="37"/>
        <v>4.918687656459245E-4</v>
      </c>
      <c r="H485" s="17">
        <f t="shared" si="39"/>
        <v>-1.0378320302899893E-2</v>
      </c>
    </row>
    <row r="486" spans="1:8" x14ac:dyDescent="0.25">
      <c r="A486" s="1" t="s">
        <v>295</v>
      </c>
      <c r="B486" s="1">
        <v>25.45</v>
      </c>
      <c r="C486" s="6">
        <f t="shared" si="36"/>
        <v>-8.5190510424155319E-2</v>
      </c>
      <c r="D486" s="6">
        <f t="shared" si="35"/>
        <v>-8.9039443498765081E-2</v>
      </c>
      <c r="E486" s="14">
        <f t="shared" si="38"/>
        <v>28.044800000000009</v>
      </c>
      <c r="G486" s="11">
        <f t="shared" si="37"/>
        <v>-4.004835180209357E-3</v>
      </c>
      <c r="H486" s="17">
        <f t="shared" si="39"/>
        <v>-3.3976657261659451E-2</v>
      </c>
    </row>
    <row r="487" spans="1:8" x14ac:dyDescent="0.25">
      <c r="A487" s="1" t="s">
        <v>296</v>
      </c>
      <c r="B487" s="1">
        <v>23.12</v>
      </c>
      <c r="C487" s="6">
        <f t="shared" si="36"/>
        <v>-9.1552062868369283E-2</v>
      </c>
      <c r="D487" s="6">
        <f t="shared" si="35"/>
        <v>-9.6017699192354922E-2</v>
      </c>
      <c r="E487" s="14">
        <f t="shared" si="38"/>
        <v>27.837600000000005</v>
      </c>
      <c r="G487" s="11">
        <f t="shared" si="37"/>
        <v>-8.0865504338006114E-3</v>
      </c>
      <c r="H487" s="17">
        <f t="shared" si="39"/>
        <v>-5.258896984086809E-2</v>
      </c>
    </row>
    <row r="488" spans="1:8" x14ac:dyDescent="0.25">
      <c r="A488" s="1" t="s">
        <v>297</v>
      </c>
      <c r="B488" s="1">
        <v>22.31</v>
      </c>
      <c r="C488" s="6">
        <f t="shared" si="36"/>
        <v>-3.5034602076124667E-2</v>
      </c>
      <c r="D488" s="6">
        <f t="shared" si="35"/>
        <v>-3.566303535973564E-2</v>
      </c>
      <c r="E488" s="14">
        <f t="shared" si="38"/>
        <v>27.646000000000004</v>
      </c>
      <c r="G488" s="11">
        <f t="shared" si="37"/>
        <v>-7.7799487776485689E-3</v>
      </c>
      <c r="H488" s="17">
        <f t="shared" si="39"/>
        <v>-4.7511189496528355E-2</v>
      </c>
    </row>
    <row r="489" spans="1:8" x14ac:dyDescent="0.25">
      <c r="A489" s="1" t="s">
        <v>298</v>
      </c>
      <c r="B489" s="1">
        <v>20.6</v>
      </c>
      <c r="C489" s="6">
        <f t="shared" si="36"/>
        <v>-7.6647243388614852E-2</v>
      </c>
      <c r="D489" s="6">
        <f t="shared" si="35"/>
        <v>-7.9743932648905599E-2</v>
      </c>
      <c r="E489" s="14">
        <f t="shared" si="38"/>
        <v>27.381200000000003</v>
      </c>
      <c r="G489" s="11">
        <f t="shared" si="37"/>
        <v>-1.1146436857111381E-2</v>
      </c>
      <c r="H489" s="17">
        <f t="shared" si="39"/>
        <v>-5.7181012442241524E-2</v>
      </c>
    </row>
    <row r="490" spans="1:8" x14ac:dyDescent="0.25">
      <c r="A490" s="1" t="s">
        <v>299</v>
      </c>
      <c r="B490" s="1">
        <v>19.05</v>
      </c>
      <c r="C490" s="6">
        <f t="shared" si="36"/>
        <v>-7.5242718446601978E-2</v>
      </c>
      <c r="D490" s="6">
        <f t="shared" si="35"/>
        <v>-7.822397422282551E-2</v>
      </c>
      <c r="E490" s="14">
        <f t="shared" si="38"/>
        <v>26.9956</v>
      </c>
      <c r="G490" s="11">
        <f t="shared" si="37"/>
        <v>-1.6379261136822542E-2</v>
      </c>
      <c r="H490" s="17">
        <f t="shared" si="39"/>
        <v>-6.3493900976416717E-2</v>
      </c>
    </row>
    <row r="491" spans="1:8" x14ac:dyDescent="0.25">
      <c r="A491" s="2">
        <v>43864</v>
      </c>
      <c r="B491" s="1">
        <v>18.86</v>
      </c>
      <c r="C491" s="6">
        <f t="shared" si="36"/>
        <v>-9.9737532808399625E-3</v>
      </c>
      <c r="D491" s="6">
        <f t="shared" si="35"/>
        <v>-1.0023824367398577E-2</v>
      </c>
      <c r="E491" s="14">
        <f t="shared" si="38"/>
        <v>26.648399999999995</v>
      </c>
      <c r="G491" s="11">
        <f t="shared" si="37"/>
        <v>-1.5143848643807896E-2</v>
      </c>
      <c r="H491" s="17">
        <f t="shared" si="39"/>
        <v>-4.745287799371127E-2</v>
      </c>
    </row>
    <row r="492" spans="1:8" x14ac:dyDescent="0.25">
      <c r="A492" s="2">
        <v>43893</v>
      </c>
      <c r="B492" s="1">
        <v>17.850000000000001</v>
      </c>
      <c r="C492" s="6">
        <f t="shared" si="36"/>
        <v>-5.3552492046659496E-2</v>
      </c>
      <c r="D492" s="6">
        <f t="shared" si="35"/>
        <v>-5.5039768979663208E-2</v>
      </c>
      <c r="E492" s="14">
        <f t="shared" si="38"/>
        <v>26.321999999999999</v>
      </c>
      <c r="G492" s="11">
        <f t="shared" si="37"/>
        <v>-1.5059102849396483E-2</v>
      </c>
      <c r="H492" s="17">
        <f t="shared" si="39"/>
        <v>-4.9728945289496847E-2</v>
      </c>
    </row>
    <row r="493" spans="1:8" x14ac:dyDescent="0.25">
      <c r="A493" s="2">
        <v>43924</v>
      </c>
      <c r="B493" s="1">
        <v>18.53</v>
      </c>
      <c r="C493" s="6">
        <f t="shared" si="36"/>
        <v>3.8095238095238078E-2</v>
      </c>
      <c r="D493" s="6">
        <f t="shared" si="35"/>
        <v>3.7387532071620412E-2</v>
      </c>
      <c r="E493" s="14">
        <f t="shared" si="38"/>
        <v>25.991199999999989</v>
      </c>
      <c r="G493" s="11">
        <f t="shared" si="37"/>
        <v>-1.4760433888781699E-2</v>
      </c>
      <c r="H493" s="17">
        <f t="shared" si="39"/>
        <v>-2.3594002081161664E-2</v>
      </c>
    </row>
    <row r="494" spans="1:8" x14ac:dyDescent="0.25">
      <c r="A494" s="2">
        <v>43954</v>
      </c>
      <c r="B494" s="1">
        <v>16.04</v>
      </c>
      <c r="C494" s="6">
        <f t="shared" si="36"/>
        <v>-0.13437668645439838</v>
      </c>
      <c r="D494" s="6">
        <f t="shared" si="35"/>
        <v>-0.1443054378589001</v>
      </c>
      <c r="E494" s="14">
        <f t="shared" si="38"/>
        <v>25.564799999999995</v>
      </c>
      <c r="G494" s="11">
        <f t="shared" si="37"/>
        <v>-2.0383118518713418E-2</v>
      </c>
      <c r="H494" s="17">
        <f t="shared" si="39"/>
        <v>-5.9807432814483197E-2</v>
      </c>
    </row>
    <row r="495" spans="1:8" x14ac:dyDescent="0.25">
      <c r="A495" s="2">
        <v>43985</v>
      </c>
      <c r="B495" s="1">
        <v>15.97</v>
      </c>
      <c r="C495" s="6">
        <f t="shared" si="36"/>
        <v>-4.3640897755610041E-3</v>
      </c>
      <c r="D495" s="6">
        <f t="shared" si="35"/>
        <v>-4.3736402114472927E-3</v>
      </c>
      <c r="E495" s="14">
        <f t="shared" si="38"/>
        <v>25.098799999999997</v>
      </c>
      <c r="G495" s="11">
        <f t="shared" si="37"/>
        <v>-2.1913127430168995E-2</v>
      </c>
      <c r="H495" s="17">
        <f t="shared" si="39"/>
        <v>-4.3177295033572427E-2</v>
      </c>
    </row>
    <row r="496" spans="1:8" x14ac:dyDescent="0.25">
      <c r="A496" s="2">
        <v>44077</v>
      </c>
      <c r="B496" s="1">
        <v>14.75</v>
      </c>
      <c r="C496" s="6">
        <f t="shared" si="36"/>
        <v>-7.6393237319974994E-2</v>
      </c>
      <c r="D496" s="6">
        <f t="shared" si="35"/>
        <v>-7.9468879441092224E-2</v>
      </c>
      <c r="E496" s="14">
        <f t="shared" si="38"/>
        <v>24.619199999999996</v>
      </c>
      <c r="G496" s="11">
        <f t="shared" si="37"/>
        <v>-2.3796699555518726E-2</v>
      </c>
      <c r="H496" s="17">
        <f t="shared" si="39"/>
        <v>-5.4064770355828365E-2</v>
      </c>
    </row>
    <row r="497" spans="1:8" x14ac:dyDescent="0.25">
      <c r="A497" s="2">
        <v>44107</v>
      </c>
      <c r="B497" s="1">
        <v>17</v>
      </c>
      <c r="C497" s="6">
        <f t="shared" si="36"/>
        <v>0.15254237288135594</v>
      </c>
      <c r="D497" s="6">
        <f t="shared" si="35"/>
        <v>0.14197026127038728</v>
      </c>
      <c r="E497" s="14">
        <f t="shared" si="38"/>
        <v>24.216799999999999</v>
      </c>
      <c r="G497" s="11">
        <f t="shared" si="37"/>
        <v>-1.8593731147457028E-2</v>
      </c>
      <c r="H497" s="17">
        <f t="shared" si="39"/>
        <v>4.7457391320363321E-3</v>
      </c>
    </row>
    <row r="498" spans="1:8" x14ac:dyDescent="0.25">
      <c r="A498" s="2">
        <v>44138</v>
      </c>
      <c r="B498" s="1">
        <v>16.260000000000002</v>
      </c>
      <c r="C498" s="6">
        <f t="shared" si="36"/>
        <v>-4.3529411764705789E-2</v>
      </c>
      <c r="D498" s="6">
        <f t="shared" si="35"/>
        <v>-4.4505239936551477E-2</v>
      </c>
      <c r="E498" s="14">
        <f t="shared" si="38"/>
        <v>23.73</v>
      </c>
      <c r="G498" s="11">
        <f t="shared" si="37"/>
        <v>-2.2349472861729752E-2</v>
      </c>
      <c r="H498" s="17">
        <f t="shared" si="39"/>
        <v>-1.002955458854001E-2</v>
      </c>
    </row>
    <row r="499" spans="1:8" x14ac:dyDescent="0.25">
      <c r="A499" s="2">
        <v>44168</v>
      </c>
      <c r="B499" s="1">
        <v>13.45</v>
      </c>
      <c r="C499" s="6">
        <f t="shared" si="36"/>
        <v>-0.1728167281672818</v>
      </c>
      <c r="D499" s="6">
        <f t="shared" si="35"/>
        <v>-0.18972899807181653</v>
      </c>
      <c r="E499" s="14">
        <f t="shared" si="38"/>
        <v>23.103999999999999</v>
      </c>
      <c r="G499" s="11">
        <f t="shared" si="37"/>
        <v>-3.0870362725183953E-2</v>
      </c>
      <c r="H499" s="17">
        <f t="shared" si="39"/>
        <v>-6.3939387633522957E-2</v>
      </c>
    </row>
    <row r="500" spans="1:8" x14ac:dyDescent="0.25">
      <c r="A500" s="1" t="s">
        <v>300</v>
      </c>
      <c r="B500" s="1">
        <v>14.31</v>
      </c>
      <c r="C500" s="6">
        <f t="shared" si="36"/>
        <v>6.3940520446096744E-2</v>
      </c>
      <c r="D500" s="6">
        <f t="shared" si="35"/>
        <v>6.1979487520511536E-2</v>
      </c>
      <c r="E500" s="14">
        <f t="shared" si="38"/>
        <v>22.544400000000007</v>
      </c>
      <c r="G500" s="11">
        <f t="shared" si="37"/>
        <v>-2.7276128443233297E-2</v>
      </c>
      <c r="H500" s="17">
        <f t="shared" si="39"/>
        <v>-2.6163725087312604E-2</v>
      </c>
    </row>
    <row r="501" spans="1:8" x14ac:dyDescent="0.25">
      <c r="A501" s="1" t="s">
        <v>301</v>
      </c>
      <c r="B501" s="1">
        <v>15.92</v>
      </c>
      <c r="C501" s="6">
        <f t="shared" si="36"/>
        <v>0.11250873515024454</v>
      </c>
      <c r="D501" s="6">
        <f t="shared" si="35"/>
        <v>0.10661758684787735</v>
      </c>
      <c r="E501" s="14">
        <f t="shared" si="38"/>
        <v>22.045999999999999</v>
      </c>
      <c r="G501" s="11">
        <f t="shared" si="37"/>
        <v>-2.3124339652626388E-2</v>
      </c>
      <c r="H501" s="17">
        <f t="shared" si="39"/>
        <v>1.367066849324438E-2</v>
      </c>
    </row>
    <row r="502" spans="1:8" x14ac:dyDescent="0.25">
      <c r="A502" s="1" t="s">
        <v>302</v>
      </c>
      <c r="B502" s="1">
        <v>15.58</v>
      </c>
      <c r="C502" s="6">
        <f t="shared" si="36"/>
        <v>-2.1356783919597982E-2</v>
      </c>
      <c r="D502" s="6">
        <f t="shared" si="35"/>
        <v>-2.1588139973634703E-2</v>
      </c>
      <c r="E502" s="14">
        <f t="shared" si="38"/>
        <v>21.517600000000005</v>
      </c>
      <c r="G502" s="11">
        <f t="shared" si="37"/>
        <v>-2.4561602567259283E-2</v>
      </c>
      <c r="H502" s="17">
        <f t="shared" si="39"/>
        <v>3.0930259531806534E-3</v>
      </c>
    </row>
    <row r="503" spans="1:8" x14ac:dyDescent="0.25">
      <c r="A503" s="1" t="s">
        <v>303</v>
      </c>
      <c r="B503" s="1">
        <v>11.65</v>
      </c>
      <c r="C503" s="6">
        <f t="shared" si="36"/>
        <v>-0.25224646983311938</v>
      </c>
      <c r="D503" s="6">
        <f t="shared" si="35"/>
        <v>-0.29068186043089261</v>
      </c>
      <c r="E503" s="14">
        <f t="shared" si="38"/>
        <v>20.790000000000006</v>
      </c>
      <c r="G503" s="11">
        <f t="shared" si="37"/>
        <v>-3.7621743812954009E-2</v>
      </c>
      <c r="H503" s="17">
        <f t="shared" si="39"/>
        <v>-8.5039439962041316E-2</v>
      </c>
    </row>
    <row r="504" spans="1:8" x14ac:dyDescent="0.25">
      <c r="A504" s="1" t="s">
        <v>304</v>
      </c>
      <c r="B504" s="1">
        <v>10.29</v>
      </c>
      <c r="C504" s="6">
        <f t="shared" si="36"/>
        <v>-0.1167381974248928</v>
      </c>
      <c r="D504" s="6">
        <f t="shared" si="35"/>
        <v>-0.12413363016575142</v>
      </c>
      <c r="E504" s="14">
        <f t="shared" si="38"/>
        <v>19.982800000000001</v>
      </c>
      <c r="G504" s="11">
        <f t="shared" si="37"/>
        <v>-4.3422801726066371E-2</v>
      </c>
      <c r="H504" s="17">
        <f t="shared" si="39"/>
        <v>-9.6767697023154339E-2</v>
      </c>
    </row>
    <row r="505" spans="1:8" x14ac:dyDescent="0.25">
      <c r="A505" s="1" t="s">
        <v>305</v>
      </c>
      <c r="B505" s="1">
        <v>10.38</v>
      </c>
      <c r="C505" s="6">
        <f t="shared" si="36"/>
        <v>8.7463556851313552E-3</v>
      </c>
      <c r="D505" s="6">
        <f t="shared" si="35"/>
        <v>8.7083278917844138E-3</v>
      </c>
      <c r="E505" s="14">
        <f t="shared" si="38"/>
        <v>19.194400000000002</v>
      </c>
      <c r="G505" s="11">
        <f t="shared" si="37"/>
        <v>-4.2572480516168444E-2</v>
      </c>
      <c r="H505" s="17">
        <f t="shared" si="39"/>
        <v>-6.512488954867271E-2</v>
      </c>
    </row>
    <row r="506" spans="1:8" x14ac:dyDescent="0.25">
      <c r="A506" s="1" t="s">
        <v>306</v>
      </c>
      <c r="B506" s="1">
        <v>10.25</v>
      </c>
      <c r="C506" s="6">
        <f t="shared" si="36"/>
        <v>-1.2524084778420113E-2</v>
      </c>
      <c r="D506" s="6">
        <f t="shared" si="35"/>
        <v>-1.260317215332551E-2</v>
      </c>
      <c r="E506" s="14">
        <f t="shared" si="38"/>
        <v>18.436400000000003</v>
      </c>
      <c r="G506" s="11">
        <f t="shared" si="37"/>
        <v>-4.1875640147592756E-2</v>
      </c>
      <c r="H506" s="17">
        <f t="shared" si="39"/>
        <v>-4.9368374330068548E-2</v>
      </c>
    </row>
    <row r="507" spans="1:8" x14ac:dyDescent="0.25">
      <c r="A507" s="1" t="s">
        <v>307</v>
      </c>
      <c r="B507" s="1">
        <v>13.92</v>
      </c>
      <c r="C507" s="6">
        <f t="shared" si="36"/>
        <v>0.35804878048780486</v>
      </c>
      <c r="D507" s="6">
        <f t="shared" si="35"/>
        <v>0.3060489493218565</v>
      </c>
      <c r="E507" s="14">
        <f t="shared" si="38"/>
        <v>17.848000000000003</v>
      </c>
      <c r="G507" s="11">
        <f t="shared" si="37"/>
        <v>-2.8845138568149995E-2</v>
      </c>
      <c r="H507" s="17">
        <f t="shared" si="39"/>
        <v>5.7256822765508975E-2</v>
      </c>
    </row>
    <row r="508" spans="1:8" x14ac:dyDescent="0.25">
      <c r="A508" s="1" t="s">
        <v>308</v>
      </c>
      <c r="B508" s="1">
        <v>15.39</v>
      </c>
      <c r="C508" s="6">
        <f t="shared" si="36"/>
        <v>0.10560344827586211</v>
      </c>
      <c r="D508" s="6">
        <f t="shared" si="35"/>
        <v>0.10039129294451429</v>
      </c>
      <c r="E508" s="14">
        <f t="shared" si="38"/>
        <v>17.330400000000001</v>
      </c>
      <c r="G508" s="11">
        <f t="shared" si="37"/>
        <v>-2.4408134639665482E-2</v>
      </c>
      <c r="H508" s="17">
        <f t="shared" si="39"/>
        <v>7.0197163819210567E-2</v>
      </c>
    </row>
    <row r="509" spans="1:8" x14ac:dyDescent="0.25">
      <c r="A509" s="1" t="s">
        <v>309</v>
      </c>
      <c r="B509" s="1">
        <v>15.66</v>
      </c>
      <c r="C509" s="6">
        <f t="shared" si="36"/>
        <v>1.7543859649122778E-2</v>
      </c>
      <c r="D509" s="6">
        <f t="shared" si="35"/>
        <v>1.7391742711869239E-2</v>
      </c>
      <c r="E509" s="14">
        <f t="shared" si="38"/>
        <v>16.816400000000002</v>
      </c>
      <c r="G509" s="11">
        <f t="shared" si="37"/>
        <v>-2.3965808494476926E-2</v>
      </c>
      <c r="H509" s="17">
        <f t="shared" si="39"/>
        <v>5.4355537487008165E-2</v>
      </c>
    </row>
    <row r="510" spans="1:8" x14ac:dyDescent="0.25">
      <c r="A510" s="1" t="s">
        <v>310</v>
      </c>
      <c r="B510" s="1">
        <v>14.04</v>
      </c>
      <c r="C510" s="6">
        <f t="shared" si="36"/>
        <v>-0.10344827586206903</v>
      </c>
      <c r="D510" s="6">
        <f t="shared" si="35"/>
        <v>-0.10919929196499209</v>
      </c>
      <c r="E510" s="14">
        <f t="shared" si="38"/>
        <v>16.2652</v>
      </c>
      <c r="G510" s="11">
        <f t="shared" si="37"/>
        <v>-2.7353791515905255E-2</v>
      </c>
      <c r="H510" s="17">
        <f t="shared" si="39"/>
        <v>5.2890886514080915E-3</v>
      </c>
    </row>
    <row r="511" spans="1:8" x14ac:dyDescent="0.25">
      <c r="A511" s="1" t="s">
        <v>311</v>
      </c>
      <c r="B511" s="1">
        <v>12.25</v>
      </c>
      <c r="C511" s="6">
        <f t="shared" si="36"/>
        <v>-0.12749287749287744</v>
      </c>
      <c r="D511" s="6">
        <f t="shared" si="35"/>
        <v>-0.13638446160692896</v>
      </c>
      <c r="E511" s="14">
        <f t="shared" si="38"/>
        <v>15.7372</v>
      </c>
      <c r="G511" s="11">
        <f t="shared" si="37"/>
        <v>-2.9247592240231816E-2</v>
      </c>
      <c r="H511" s="17">
        <f t="shared" si="39"/>
        <v>-3.7212976426093024E-2</v>
      </c>
    </row>
    <row r="512" spans="1:8" x14ac:dyDescent="0.25">
      <c r="A512" s="1" t="s">
        <v>312</v>
      </c>
      <c r="B512" s="1">
        <v>12.19</v>
      </c>
      <c r="C512" s="6">
        <f t="shared" si="36"/>
        <v>-4.8979591836735099E-3</v>
      </c>
      <c r="D512" s="6">
        <f t="shared" si="35"/>
        <v>-4.9099934975558937E-3</v>
      </c>
      <c r="E512" s="14">
        <f t="shared" si="38"/>
        <v>15.3</v>
      </c>
      <c r="G512" s="11">
        <f t="shared" si="37"/>
        <v>-2.5603284012439859E-2</v>
      </c>
      <c r="H512" s="17">
        <f t="shared" si="39"/>
        <v>-2.7522081547531881E-2</v>
      </c>
    </row>
    <row r="513" spans="1:8" x14ac:dyDescent="0.25">
      <c r="A513" s="2">
        <v>43834</v>
      </c>
      <c r="B513" s="1">
        <v>10.69</v>
      </c>
      <c r="C513" s="6">
        <f t="shared" si="36"/>
        <v>-0.12305168170631665</v>
      </c>
      <c r="D513" s="6">
        <f t="shared" si="35"/>
        <v>-0.13130721845622628</v>
      </c>
      <c r="E513" s="14">
        <f t="shared" si="38"/>
        <v>14.835200000000002</v>
      </c>
      <c r="G513" s="11">
        <f t="shared" si="37"/>
        <v>-2.9429051336299486E-2</v>
      </c>
      <c r="H513" s="17">
        <f t="shared" si="39"/>
        <v>-5.8657622620140196E-2</v>
      </c>
    </row>
    <row r="514" spans="1:8" x14ac:dyDescent="0.25">
      <c r="A514" s="2">
        <v>43865</v>
      </c>
      <c r="B514" s="1">
        <v>10.06</v>
      </c>
      <c r="C514" s="6">
        <f t="shared" si="36"/>
        <v>-5.8933582787651921E-2</v>
      </c>
      <c r="D514" s="6">
        <f t="shared" si="35"/>
        <v>-6.0741560365360624E-2</v>
      </c>
      <c r="E514" s="14">
        <f t="shared" si="38"/>
        <v>14.413600000000001</v>
      </c>
      <c r="G514" s="11">
        <f t="shared" si="37"/>
        <v>-2.8668956444957677E-2</v>
      </c>
      <c r="H514" s="17">
        <f t="shared" si="39"/>
        <v>-5.9282803943706316E-2</v>
      </c>
    </row>
    <row r="515" spans="1:8" x14ac:dyDescent="0.25">
      <c r="A515" s="2">
        <v>43894</v>
      </c>
      <c r="B515" s="1">
        <v>9.39</v>
      </c>
      <c r="C515" s="6">
        <f t="shared" si="36"/>
        <v>-6.6600397614314105E-2</v>
      </c>
      <c r="D515" s="6">
        <f t="shared" si="35"/>
        <v>-6.8921871451421632E-2</v>
      </c>
      <c r="E515" s="14">
        <f t="shared" si="38"/>
        <v>14.027200000000001</v>
      </c>
      <c r="G515" s="11">
        <f t="shared" si="37"/>
        <v>-2.8296872334101525E-2</v>
      </c>
      <c r="H515" s="17">
        <f t="shared" si="39"/>
        <v>-6.217452419602091E-2</v>
      </c>
    </row>
    <row r="516" spans="1:8" x14ac:dyDescent="0.25">
      <c r="A516" s="2">
        <v>43986</v>
      </c>
      <c r="B516" s="1">
        <v>9.5</v>
      </c>
      <c r="C516" s="6">
        <f t="shared" si="36"/>
        <v>1.1714589989350311E-2</v>
      </c>
      <c r="D516" s="6">
        <f t="shared" si="35"/>
        <v>1.1646505386323504E-2</v>
      </c>
      <c r="E516" s="14">
        <f t="shared" si="38"/>
        <v>13.652799999999999</v>
      </c>
      <c r="G516" s="11">
        <f t="shared" si="37"/>
        <v>-2.7430059143952638E-2</v>
      </c>
      <c r="H516" s="17">
        <f t="shared" si="39"/>
        <v>-4.0028215321317583E-2</v>
      </c>
    </row>
    <row r="517" spans="1:8" x14ac:dyDescent="0.25">
      <c r="A517" s="2">
        <v>44016</v>
      </c>
      <c r="B517" s="1">
        <v>10.220000000000001</v>
      </c>
      <c r="C517" s="6">
        <f t="shared" si="36"/>
        <v>7.5789473684210587E-2</v>
      </c>
      <c r="D517" s="6">
        <f t="shared" ref="D517:D540" si="40">LN(B517/B516)</f>
        <v>7.3054786169063315E-2</v>
      </c>
      <c r="E517" s="14">
        <f t="shared" si="38"/>
        <v>13.3476</v>
      </c>
      <c r="G517" s="11">
        <f t="shared" si="37"/>
        <v>-2.2306276938003577E-2</v>
      </c>
      <c r="H517" s="17">
        <f t="shared" si="39"/>
        <v>-6.1033148742033125E-3</v>
      </c>
    </row>
    <row r="518" spans="1:8" x14ac:dyDescent="0.25">
      <c r="A518" s="2">
        <v>44047</v>
      </c>
      <c r="B518" s="1">
        <v>11.33</v>
      </c>
      <c r="C518" s="6">
        <f t="shared" ref="C518:C540" si="41">(B518-B517)/B517</f>
        <v>0.10861056751467704</v>
      </c>
      <c r="D518" s="6">
        <f t="shared" si="40"/>
        <v>0.10310749026435659</v>
      </c>
      <c r="E518" s="14">
        <f t="shared" si="38"/>
        <v>13.059599999999998</v>
      </c>
      <c r="G518" s="11">
        <f t="shared" si="37"/>
        <v>-1.9677478610294129E-2</v>
      </c>
      <c r="H518" s="17">
        <f t="shared" si="39"/>
        <v>2.6659926667364657E-2</v>
      </c>
    </row>
    <row r="519" spans="1:8" x14ac:dyDescent="0.25">
      <c r="A519" s="2">
        <v>44078</v>
      </c>
      <c r="B519" s="1">
        <v>12.51</v>
      </c>
      <c r="C519" s="6">
        <f t="shared" si="41"/>
        <v>0.10414827890556043</v>
      </c>
      <c r="D519" s="6">
        <f t="shared" si="40"/>
        <v>9.9074249438904707E-2</v>
      </c>
      <c r="E519" s="14">
        <f t="shared" si="38"/>
        <v>12.918399999999998</v>
      </c>
      <c r="G519" s="11">
        <f t="shared" si="37"/>
        <v>-9.9422911183819386E-3</v>
      </c>
      <c r="H519" s="17">
        <f t="shared" si="39"/>
        <v>4.8384223498826671E-2</v>
      </c>
    </row>
    <row r="520" spans="1:8" x14ac:dyDescent="0.25">
      <c r="A520" s="1" t="s">
        <v>313</v>
      </c>
      <c r="B520" s="1">
        <v>11.56</v>
      </c>
      <c r="C520" s="6">
        <f t="shared" si="41"/>
        <v>-7.5939248601119044E-2</v>
      </c>
      <c r="D520" s="6">
        <f t="shared" si="40"/>
        <v>-7.897746123458825E-2</v>
      </c>
      <c r="E520" s="14">
        <f t="shared" si="38"/>
        <v>12.741999999999997</v>
      </c>
      <c r="G520" s="11">
        <f t="shared" si="37"/>
        <v>-1.2926443959307579E-2</v>
      </c>
      <c r="H520" s="17">
        <f t="shared" si="39"/>
        <v>1.0175718078802191E-2</v>
      </c>
    </row>
    <row r="521" spans="1:8" x14ac:dyDescent="0.25">
      <c r="A521" s="1" t="s">
        <v>314</v>
      </c>
      <c r="B521" s="1">
        <v>11.95</v>
      </c>
      <c r="C521" s="6">
        <f t="shared" si="41"/>
        <v>3.373702422145318E-2</v>
      </c>
      <c r="D521" s="6">
        <f t="shared" si="40"/>
        <v>3.318041513328817E-2</v>
      </c>
      <c r="E521" s="14">
        <f t="shared" si="38"/>
        <v>12.629999999999997</v>
      </c>
      <c r="G521" s="11">
        <f t="shared" si="37"/>
        <v>-8.4204721763323602E-3</v>
      </c>
      <c r="H521" s="17">
        <f t="shared" si="39"/>
        <v>1.7077127195147986E-2</v>
      </c>
    </row>
    <row r="522" spans="1:8" x14ac:dyDescent="0.25">
      <c r="A522" s="1" t="s">
        <v>315</v>
      </c>
      <c r="B522" s="1">
        <v>12.29</v>
      </c>
      <c r="C522" s="6">
        <f t="shared" si="41"/>
        <v>2.8451882845188275E-2</v>
      </c>
      <c r="D522" s="6">
        <f t="shared" si="40"/>
        <v>2.8054645200423788E-2</v>
      </c>
      <c r="E522" s="14">
        <f t="shared" si="38"/>
        <v>12.441599999999999</v>
      </c>
      <c r="G522" s="11">
        <f t="shared" si="37"/>
        <v>-1.2977096819130904E-2</v>
      </c>
      <c r="H522" s="17">
        <f t="shared" si="39"/>
        <v>2.0370382596730727E-2</v>
      </c>
    </row>
    <row r="523" spans="1:8" x14ac:dyDescent="0.25">
      <c r="A523" s="1" t="s">
        <v>316</v>
      </c>
      <c r="B523" s="1">
        <v>11.07</v>
      </c>
      <c r="C523" s="6">
        <f t="shared" si="41"/>
        <v>-9.9267697314890074E-2</v>
      </c>
      <c r="D523" s="6">
        <f t="shared" si="40"/>
        <v>-0.10454717685739782</v>
      </c>
      <c r="E523" s="14">
        <f t="shared" si="38"/>
        <v>12.233999999999998</v>
      </c>
      <c r="G523" s="11">
        <f t="shared" si="37"/>
        <v>-1.5378774295964761E-2</v>
      </c>
      <c r="H523" s="17">
        <f t="shared" si="39"/>
        <v>-1.7104885239507837E-2</v>
      </c>
    </row>
    <row r="524" spans="1:8" x14ac:dyDescent="0.25">
      <c r="A524" s="1" t="s">
        <v>317</v>
      </c>
      <c r="B524" s="1">
        <v>11.57</v>
      </c>
      <c r="C524" s="6">
        <f t="shared" si="41"/>
        <v>4.5167118337850046E-2</v>
      </c>
      <c r="D524" s="6">
        <f t="shared" si="40"/>
        <v>4.4176794485039791E-2</v>
      </c>
      <c r="E524" s="14">
        <f t="shared" si="38"/>
        <v>12.158799999999999</v>
      </c>
      <c r="G524" s="11">
        <f t="shared" si="37"/>
        <v>-6.0225425936905053E-3</v>
      </c>
      <c r="H524" s="17">
        <f t="shared" si="39"/>
        <v>1.2796186778564513E-3</v>
      </c>
    </row>
    <row r="525" spans="1:8" x14ac:dyDescent="0.25">
      <c r="A525" s="1" t="s">
        <v>318</v>
      </c>
      <c r="B525" s="1">
        <v>11.06</v>
      </c>
      <c r="C525" s="6">
        <f t="shared" si="41"/>
        <v>-4.407951598962833E-2</v>
      </c>
      <c r="D525" s="6">
        <f t="shared" si="40"/>
        <v>-4.5080545111396454E-2</v>
      </c>
      <c r="E525" s="14">
        <f t="shared" si="38"/>
        <v>12.028799999999999</v>
      </c>
      <c r="G525" s="11">
        <f t="shared" si="37"/>
        <v>-1.0304943898966823E-2</v>
      </c>
      <c r="H525" s="17">
        <f t="shared" si="39"/>
        <v>-1.2628430458919421E-2</v>
      </c>
    </row>
    <row r="526" spans="1:8" x14ac:dyDescent="0.25">
      <c r="A526" s="1" t="s">
        <v>319</v>
      </c>
      <c r="B526" s="1">
        <v>11</v>
      </c>
      <c r="C526" s="6">
        <f t="shared" si="41"/>
        <v>-5.4249547920434448E-3</v>
      </c>
      <c r="D526" s="6">
        <f t="shared" si="40"/>
        <v>-5.4397232958182098E-3</v>
      </c>
      <c r="E526" s="14">
        <f t="shared" si="38"/>
        <v>11.832000000000001</v>
      </c>
      <c r="G526" s="11">
        <f t="shared" si="37"/>
        <v>-1.4787236304714646E-2</v>
      </c>
      <c r="H526" s="17">
        <f t="shared" si="39"/>
        <v>-1.0471818309989058E-2</v>
      </c>
    </row>
    <row r="527" spans="1:8" x14ac:dyDescent="0.25">
      <c r="A527" s="1" t="s">
        <v>320</v>
      </c>
      <c r="B527" s="1">
        <v>10.27</v>
      </c>
      <c r="C527" s="6">
        <f t="shared" si="41"/>
        <v>-6.6363636363636402E-2</v>
      </c>
      <c r="D527" s="6">
        <f t="shared" si="40"/>
        <v>-6.8668248857903721E-2</v>
      </c>
      <c r="E527" s="14">
        <f t="shared" si="38"/>
        <v>11.619599999999998</v>
      </c>
      <c r="G527" s="11">
        <f t="shared" si="37"/>
        <v>-1.6670440660085405E-2</v>
      </c>
      <c r="H527" s="17">
        <f t="shared" si="39"/>
        <v>-2.7930747474363457E-2</v>
      </c>
    </row>
    <row r="528" spans="1:8" x14ac:dyDescent="0.25">
      <c r="A528" s="1" t="s">
        <v>321</v>
      </c>
      <c r="B528" s="1">
        <v>10.25</v>
      </c>
      <c r="C528" s="6">
        <f t="shared" si="41"/>
        <v>-1.9474196689386149E-3</v>
      </c>
      <c r="D528" s="6">
        <f t="shared" si="40"/>
        <v>-1.9493183560496533E-3</v>
      </c>
      <c r="E528" s="14">
        <f t="shared" si="38"/>
        <v>11.563599999999997</v>
      </c>
      <c r="G528" s="11">
        <f t="shared" si="37"/>
        <v>-5.1211389770916904E-3</v>
      </c>
      <c r="H528" s="17">
        <f t="shared" si="39"/>
        <v>-2.0136318738869313E-2</v>
      </c>
    </row>
    <row r="529" spans="1:20" x14ac:dyDescent="0.25">
      <c r="A529" s="1" t="s">
        <v>322</v>
      </c>
      <c r="B529" s="1">
        <v>10.31</v>
      </c>
      <c r="C529" s="6">
        <f t="shared" si="41"/>
        <v>5.8536585365854144E-3</v>
      </c>
      <c r="D529" s="6">
        <f t="shared" si="40"/>
        <v>5.8365924444513774E-3</v>
      </c>
      <c r="E529" s="14">
        <f t="shared" si="38"/>
        <v>11.564399999999999</v>
      </c>
      <c r="G529" s="11">
        <f t="shared" si="37"/>
        <v>7.7669927316423198E-5</v>
      </c>
      <c r="H529" s="17">
        <f t="shared" si="39"/>
        <v>-1.2344445383873106E-2</v>
      </c>
    </row>
    <row r="530" spans="1:20" x14ac:dyDescent="0.25">
      <c r="A530" s="1" t="s">
        <v>323</v>
      </c>
      <c r="B530" s="1">
        <v>10.02</v>
      </c>
      <c r="C530" s="6">
        <f t="shared" si="41"/>
        <v>-2.812803103782744E-2</v>
      </c>
      <c r="D530" s="6">
        <f t="shared" si="40"/>
        <v>-2.8531202372149931E-2</v>
      </c>
      <c r="E530" s="14">
        <f t="shared" si="38"/>
        <v>11.549999999999997</v>
      </c>
      <c r="G530" s="11">
        <f t="shared" si="37"/>
        <v>-1.4119112832409516E-3</v>
      </c>
      <c r="H530" s="17">
        <f t="shared" si="39"/>
        <v>-1.7200472480356152E-2</v>
      </c>
    </row>
    <row r="531" spans="1:20" x14ac:dyDescent="0.25">
      <c r="A531" s="1" t="s">
        <v>324</v>
      </c>
      <c r="B531" s="1">
        <v>11.26</v>
      </c>
      <c r="C531" s="6">
        <f t="shared" si="41"/>
        <v>0.12375249500998006</v>
      </c>
      <c r="D531" s="6">
        <f t="shared" si="40"/>
        <v>0.11667352705482553</v>
      </c>
      <c r="E531" s="14">
        <f t="shared" si="38"/>
        <v>11.590399999999997</v>
      </c>
      <c r="G531" s="11">
        <f t="shared" si="37"/>
        <v>3.7591566850850898E-3</v>
      </c>
      <c r="H531" s="17">
        <f t="shared" si="39"/>
        <v>2.2961727380198353E-2</v>
      </c>
    </row>
    <row r="532" spans="1:20" x14ac:dyDescent="0.25">
      <c r="A532" s="1" t="s">
        <v>325</v>
      </c>
      <c r="B532" s="1">
        <v>12.63</v>
      </c>
      <c r="C532" s="6">
        <f t="shared" si="41"/>
        <v>0.1216696269982239</v>
      </c>
      <c r="D532" s="6">
        <f t="shared" si="40"/>
        <v>0.11481831365085543</v>
      </c>
      <c r="E532" s="14">
        <f t="shared" si="38"/>
        <v>11.538799999999998</v>
      </c>
      <c r="G532" s="11">
        <f t="shared" si="37"/>
        <v>-3.890068741754953E-3</v>
      </c>
      <c r="H532" s="17">
        <f t="shared" si="39"/>
        <v>5.0518703261395473E-2</v>
      </c>
    </row>
    <row r="533" spans="1:20" x14ac:dyDescent="0.25">
      <c r="A533" s="1" t="s">
        <v>326</v>
      </c>
      <c r="B533" s="1">
        <v>12.01</v>
      </c>
      <c r="C533" s="6">
        <f t="shared" si="41"/>
        <v>-4.9089469517023039E-2</v>
      </c>
      <c r="D533" s="6">
        <f t="shared" si="40"/>
        <v>-5.0335300270507699E-2</v>
      </c>
      <c r="E533" s="14">
        <f t="shared" si="38"/>
        <v>11.403599999999999</v>
      </c>
      <c r="G533" s="11">
        <f t="shared" si="37"/>
        <v>-9.9191324703558365E-3</v>
      </c>
      <c r="H533" s="17">
        <f t="shared" si="39"/>
        <v>2.0262502201824517E-2</v>
      </c>
    </row>
    <row r="534" spans="1:20" x14ac:dyDescent="0.25">
      <c r="A534" s="2">
        <v>43835</v>
      </c>
      <c r="B534" s="1">
        <v>10.64</v>
      </c>
      <c r="C534" s="6">
        <f t="shared" si="41"/>
        <v>-0.11407160699417146</v>
      </c>
      <c r="D534" s="6">
        <f t="shared" si="40"/>
        <v>-0.12111915217839384</v>
      </c>
      <c r="E534" s="14">
        <f t="shared" si="38"/>
        <v>11.2028</v>
      </c>
      <c r="G534" s="11">
        <f t="shared" si="37"/>
        <v>-1.545956826596636E-2</v>
      </c>
      <c r="H534" s="17">
        <f t="shared" si="39"/>
        <v>-2.2151994112240989E-2</v>
      </c>
    </row>
    <row r="535" spans="1:20" x14ac:dyDescent="0.25">
      <c r="A535" s="2">
        <v>43926</v>
      </c>
      <c r="B535" s="1">
        <v>9.82</v>
      </c>
      <c r="C535" s="6">
        <f t="shared" si="41"/>
        <v>-7.7067669172932354E-2</v>
      </c>
      <c r="D535" s="6">
        <f t="shared" si="40"/>
        <v>-8.0199361547123871E-2</v>
      </c>
      <c r="E535" s="14">
        <f t="shared" si="38"/>
        <v>11.033999999999999</v>
      </c>
      <c r="G535" s="11">
        <f t="shared" si="37"/>
        <v>-1.4299571049251624E-2</v>
      </c>
      <c r="H535" s="17">
        <f t="shared" si="39"/>
        <v>-3.956620434270585E-2</v>
      </c>
    </row>
    <row r="536" spans="1:20" x14ac:dyDescent="0.25">
      <c r="A536" s="2">
        <v>43956</v>
      </c>
      <c r="B536" s="1">
        <v>9.51</v>
      </c>
      <c r="C536" s="6">
        <f t="shared" si="41"/>
        <v>-3.1568228105906364E-2</v>
      </c>
      <c r="D536" s="6">
        <f t="shared" si="40"/>
        <v>-3.2077245809075582E-2</v>
      </c>
      <c r="E536" s="14">
        <f t="shared" si="38"/>
        <v>10.924399999999999</v>
      </c>
      <c r="G536" s="11">
        <f t="shared" si="37"/>
        <v>-1.0127282417337489E-2</v>
      </c>
      <c r="H536" s="17">
        <f t="shared" si="39"/>
        <v>-3.7319516782616767E-2</v>
      </c>
    </row>
    <row r="537" spans="1:20" x14ac:dyDescent="0.25">
      <c r="A537" s="2">
        <v>43987</v>
      </c>
      <c r="B537" s="1">
        <v>9.25</v>
      </c>
      <c r="C537" s="6">
        <f t="shared" si="41"/>
        <v>-2.7339642481598297E-2</v>
      </c>
      <c r="D537" s="6">
        <f t="shared" si="40"/>
        <v>-2.7720325032965051E-2</v>
      </c>
      <c r="E537" s="14">
        <f t="shared" si="38"/>
        <v>10.806799999999999</v>
      </c>
      <c r="G537" s="11">
        <f t="shared" si="37"/>
        <v>-1.1039695678753856E-2</v>
      </c>
      <c r="H537" s="17">
        <f t="shared" si="39"/>
        <v>-3.4439759257721254E-2</v>
      </c>
    </row>
    <row r="538" spans="1:20" x14ac:dyDescent="0.25">
      <c r="A538" s="2">
        <v>44017</v>
      </c>
      <c r="B538" s="1">
        <v>9.5399999999999991</v>
      </c>
      <c r="C538" s="6">
        <f t="shared" si="41"/>
        <v>3.135135135135126E-2</v>
      </c>
      <c r="D538" s="6">
        <f t="shared" si="40"/>
        <v>3.0869933935861238E-2</v>
      </c>
      <c r="E538" s="14">
        <f t="shared" si="38"/>
        <v>10.7608</v>
      </c>
      <c r="G538" s="11">
        <f t="shared" si="37"/>
        <v>-4.5526095830703576E-3</v>
      </c>
      <c r="H538" s="17">
        <f t="shared" si="39"/>
        <v>-1.4846851299646505E-2</v>
      </c>
    </row>
    <row r="539" spans="1:20" x14ac:dyDescent="0.25">
      <c r="A539" s="2">
        <v>44048</v>
      </c>
      <c r="B539" s="1">
        <v>10.14</v>
      </c>
      <c r="C539" s="6">
        <f t="shared" si="41"/>
        <v>6.2893081761006442E-2</v>
      </c>
      <c r="D539" s="6">
        <f t="shared" si="40"/>
        <v>6.0994512702842139E-2</v>
      </c>
      <c r="E539" s="14">
        <f t="shared" si="38"/>
        <v>10.763999999999999</v>
      </c>
      <c r="G539" s="11">
        <f t="shared" si="37"/>
        <v>3.1683333965775356E-4</v>
      </c>
      <c r="H539" s="17">
        <f t="shared" si="39"/>
        <v>7.9055579011000892E-3</v>
      </c>
    </row>
    <row r="540" spans="1:20" x14ac:dyDescent="0.25">
      <c r="A540" s="2">
        <v>44140</v>
      </c>
      <c r="B540" s="1">
        <v>10.1</v>
      </c>
      <c r="C540" s="6">
        <f t="shared" si="41"/>
        <v>-3.9447731755424976E-3</v>
      </c>
      <c r="D540" s="6">
        <f t="shared" si="40"/>
        <v>-3.9525743158234693E-3</v>
      </c>
      <c r="E540" s="14">
        <f t="shared" si="38"/>
        <v>10.792400000000001</v>
      </c>
      <c r="G540" s="11">
        <f t="shared" ref="G540" si="42">SUM(D516:D540)/25</f>
        <v>2.9156052250816807E-3</v>
      </c>
      <c r="H540" s="17">
        <f t="shared" si="39"/>
        <v>4.3481182360230212E-3</v>
      </c>
    </row>
    <row r="541" spans="1:20" x14ac:dyDescent="0.25">
      <c r="A541" s="1" t="s">
        <v>342</v>
      </c>
      <c r="B541" s="1" t="s">
        <v>342</v>
      </c>
      <c r="C541" s="1" t="s">
        <v>342</v>
      </c>
      <c r="D541" s="1" t="s">
        <v>342</v>
      </c>
      <c r="E541" s="1" t="s">
        <v>342</v>
      </c>
      <c r="F541" s="1" t="s">
        <v>342</v>
      </c>
      <c r="G541" s="1" t="s">
        <v>342</v>
      </c>
      <c r="H541" s="15" t="s">
        <v>342</v>
      </c>
      <c r="I541" s="1" t="s">
        <v>342</v>
      </c>
      <c r="J541" s="1" t="s">
        <v>342</v>
      </c>
      <c r="K541" s="1" t="s">
        <v>342</v>
      </c>
      <c r="L541" s="1" t="s">
        <v>342</v>
      </c>
      <c r="M541" s="1" t="s">
        <v>342</v>
      </c>
      <c r="N541" s="1" t="s">
        <v>342</v>
      </c>
      <c r="O541" s="1" t="s">
        <v>342</v>
      </c>
      <c r="P541" s="1" t="s">
        <v>342</v>
      </c>
      <c r="Q541" s="1" t="s">
        <v>342</v>
      </c>
      <c r="R541" s="1" t="s">
        <v>342</v>
      </c>
      <c r="S541" s="1" t="s">
        <v>342</v>
      </c>
      <c r="T541" s="1" t="s">
        <v>342</v>
      </c>
    </row>
  </sheetData>
  <mergeCells count="18">
    <mergeCell ref="M6:W6"/>
    <mergeCell ref="M7:W7"/>
    <mergeCell ref="M8:W8"/>
    <mergeCell ref="M10:V10"/>
    <mergeCell ref="A1:B1"/>
    <mergeCell ref="M1:W1"/>
    <mergeCell ref="M2:W2"/>
    <mergeCell ref="M3:W3"/>
    <mergeCell ref="M4:W4"/>
    <mergeCell ref="M5:W5"/>
    <mergeCell ref="E1:F1"/>
    <mergeCell ref="G1:H1"/>
    <mergeCell ref="M47:V47"/>
    <mergeCell ref="M50:V50"/>
    <mergeCell ref="M18:V18"/>
    <mergeCell ref="M11:M12"/>
    <mergeCell ref="M13:M14"/>
    <mergeCell ref="M15:M16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23B11-E48E-4201-A5F2-67E69B5CB31B}">
  <dimension ref="B2:D9"/>
  <sheetViews>
    <sheetView workbookViewId="0">
      <selection activeCell="D5" sqref="D5"/>
    </sheetView>
  </sheetViews>
  <sheetFormatPr defaultRowHeight="14.4" x14ac:dyDescent="0.3"/>
  <sheetData>
    <row r="2" spans="2:4" x14ac:dyDescent="0.3">
      <c r="C2" t="s">
        <v>349</v>
      </c>
      <c r="D2">
        <v>0.3</v>
      </c>
    </row>
    <row r="4" spans="2:4" x14ac:dyDescent="0.3">
      <c r="B4" t="s">
        <v>346</v>
      </c>
      <c r="C4" t="s">
        <v>347</v>
      </c>
      <c r="D4" t="s">
        <v>348</v>
      </c>
    </row>
    <row r="5" spans="2:4" x14ac:dyDescent="0.3">
      <c r="B5">
        <v>1</v>
      </c>
      <c r="C5">
        <v>40</v>
      </c>
      <c r="D5">
        <f>C5</f>
        <v>40</v>
      </c>
    </row>
    <row r="6" spans="2:4" x14ac:dyDescent="0.3">
      <c r="B6">
        <v>2</v>
      </c>
      <c r="C6">
        <v>45</v>
      </c>
      <c r="D6">
        <f>$D$2*C6+(1-$D$2)*D5</f>
        <v>41.5</v>
      </c>
    </row>
    <row r="7" spans="2:4" x14ac:dyDescent="0.3">
      <c r="B7">
        <v>3</v>
      </c>
      <c r="C7">
        <v>43</v>
      </c>
      <c r="D7">
        <f>$D$2*C7+(1-$D$2)*D6</f>
        <v>41.949999999999996</v>
      </c>
    </row>
    <row r="8" spans="2:4" x14ac:dyDescent="0.3">
      <c r="B8">
        <v>4</v>
      </c>
      <c r="C8">
        <v>31</v>
      </c>
      <c r="D8">
        <f t="shared" ref="D8:D9" si="0">$D$2*C8+(1-$D$2)*D7</f>
        <v>38.664999999999992</v>
      </c>
    </row>
    <row r="9" spans="2:4" x14ac:dyDescent="0.3">
      <c r="B9">
        <v>5</v>
      </c>
      <c r="C9">
        <v>20</v>
      </c>
      <c r="D9">
        <f t="shared" si="0"/>
        <v>33.065499999999993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Hai Ninh Hoang</dc:creator>
  <cp:lastModifiedBy>Hai Ninh Hoang</cp:lastModifiedBy>
  <dcterms:created xsi:type="dcterms:W3CDTF">2020-05-13T07:14:15Z</dcterms:created>
  <dcterms:modified xsi:type="dcterms:W3CDTF">2020-05-15T08:30:04Z</dcterms:modified>
</cp:coreProperties>
</file>